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d1c81d48047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ómo usar" sheetId="1" r:id="Rc02d9ff4c6fd4960"/>
    <x:sheet xmlns:r="http://schemas.openxmlformats.org/officeDocument/2006/relationships" name="Listas" sheetId="2" r:id="Rc2b2285a30aa42c1"/>
    <x:sheet xmlns:r="http://schemas.openxmlformats.org/officeDocument/2006/relationships" name="Proveedores" sheetId="3" r:id="Rc9826de5368a45ed"/>
    <x:sheet xmlns:r="http://schemas.openxmlformats.org/officeDocument/2006/relationships" name="Pagos" sheetId="4" r:id="R183f1e011ab1492f"/>
    <x:sheet xmlns:r="http://schemas.openxmlformats.org/officeDocument/2006/relationships" name="Ejemplo" sheetId="5" r:id="R1890aed2cc7147f0"/>
    <x:sheet xmlns:r="http://schemas.openxmlformats.org/officeDocument/2006/relationships" name="Cotizaciones" sheetId="6" r:id="R2ed253a81b1340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.0000"/>
    <x:numFmt numFmtId="202" formatCode="dd/mm/yyyy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2"/>
      <x:color rgb="FF34292C"/>
      <x:name val="Carlito"/>
    </x:font>
    <x:font>
      <x:b/>
      <x:sz val="12"/>
      <x:color rgb="FFFFFFFF"/>
      <x:name val="Carlito"/>
    </x:font>
    <x:font>
      <x:b/>
      <x:sz val="11"/>
      <x:color rgb="FF8B5555"/>
      <x:name val="Carlito"/>
    </x:font>
    <x:font>
      <x:b/>
      <x:sz val="12"/>
      <x:color rgb="FF8B5555"/>
      <x:name val="Carlito"/>
    </x:font>
    <x:font>
      <x:b/>
      <x:sz val="11"/>
      <x:color rgb="FF34292C"/>
      <x:name val="Carlito"/>
    </x:font>
    <x:font>
      <x:i/>
      <x:sz val="11"/>
      <x:color rgb="FF34292C"/>
      <x:name val="Carlito"/>
    </x:font>
    <x:font>
      <x:b/>
      <x:sz val="11"/>
      <x:color rgb="FFFFFFFF"/>
      <x:name val="Carlito"/>
    </x:font>
    <x:font>
      <x:sz val="11"/>
      <x:color rgb="FF786B69"/>
      <x:name val="Carlito"/>
    </x:font>
    <x:font>
      <x:b/>
      <x:sz val="9"/>
      <x:color rgb="FF8B5555"/>
      <x:name val="Carlito"/>
    </x:font>
    <x:font>
      <x:b/>
      <x:sz val="15"/>
      <x:color rgb="FFFFFFFF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34292C"/>
      </x:patternFill>
    </x:fill>
    <x:fill>
      <x:patternFill patternType="solid">
        <x:fgColor rgb="FF8B5555"/>
      </x:patternFill>
    </x:fill>
    <x:fill>
      <x:patternFill patternType="solid">
        <x:fgColor rgb="FFF2E3DE"/>
      </x:patternFill>
    </x:fill>
    <x:fill>
      <x:patternFill patternType="solid">
        <x:fgColor rgb="FFFFF3D6"/>
      </x:patternFill>
    </x:fill>
    <x:fill>
      <x:patternFill patternType="solid">
        <x:fgColor rgb="FFF5F1EF"/>
      </x:patternFill>
    </x:fill>
    <x:fill>
      <x:patternFill patternType="solid">
        <x:fgColor rgb="FFFBF7F4"/>
      </x:patternFill>
    </x:fill>
    <x:fill>
      <x:patternFill patternType="solid">
        <x:fgColor rgb="FFECE8E6"/>
      </x:patternFill>
    </x:fill>
    <x:fill>
      <x:patternFill patternType="solid">
        <x:fgColor rgb="FFF2E3DE"/>
      </x:patternFill>
    </x:fill>
    <x:fill>
      <x:patternFill patternType="solid">
        <x:fgColor rgb="FF8B5555"/>
      </x:patternFill>
    </x:fill>
    <x:fill>
      <x:patternFill patternType="solid">
        <x:fgColor rgb="FFECE8E6"/>
      </x:patternFill>
    </x:fill>
    <x:fill>
      <x:patternFill patternType="solid">
        <x:fgColor rgb="FFFBE9E7"/>
      </x:patternFill>
    </x:fill>
    <x:fill>
      <x:patternFill patternType="solid">
        <x:fgColor rgb="FF34292C"/>
      </x:patternFill>
    </x:fill>
    <x:fill>
      <x:patternFill patternType="solid">
        <x:fgColor rgb="FFF5F1EF"/>
      </x:patternFill>
    </x:fill>
    <x:fill>
      <x:patternFill patternType="solid">
        <x:fgColor rgb="FFF2E3DE"/>
      </x:patternFill>
    </x:fill>
    <x:fill>
      <x:patternFill patternType="solid">
        <x:fgColor rgb="FF8B5555"/>
      </x:patternFill>
    </x:fill>
    <x:fill>
      <x:patternFill patternType="solid">
        <x:fgColor rgb="FFFBF7F4"/>
      </x:patternFill>
    </x:fill>
    <x:fill>
      <x:patternFill patternType="solid">
        <x:fgColor rgb="FFECE8E6"/>
      </x:patternFill>
    </x:fill>
    <x:fill>
      <x:patternFill patternType="solid">
        <x:fgColor rgb="FFFFF3D6"/>
      </x:patternFill>
    </x:fill>
  </x:fills>
  <x:borders count="2">
    <x:border/>
    <x:border/>
  </x:borders>
  <x:cellStyleXfs count="1">
    <x:xf numFmtId="0" fontId="0" fillId="0" borderId="0"/>
  </x:cellStyleXfs>
  <x:cellXfs count="1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wrapText="1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horizont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200" fontId="0" fillId="7" borderId="0" xfId="0" applyNumberFormat="1" applyFont="1" applyFill="1" applyBorder="1"/>
    <x:xf numFmtId="200" fontId="0" fillId="7" borderId="1" xfId="0" applyNumberFormat="1" applyFont="1" applyFill="1" applyBorder="1"/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200" fontId="0" fillId="8" borderId="0" xfId="0" applyNumberFormat="1" applyFont="1" applyFill="1" applyBorder="1"/>
    <x:xf numFmtId="200" fontId="0" fillId="8" borderId="1" xfId="0" applyNumberFormat="1" applyFont="1" applyFill="1" applyBorder="1"/>
    <x:xf numFmtId="202" fontId="0" fillId="8" borderId="0" xfId="0" applyNumberFormat="1" applyFont="1" applyFill="1" applyBorder="1"/>
    <x:xf numFmtId="202" fontId="0" fillId="8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2" fontId="0" fillId="7" borderId="0" xfId="0" applyNumberFormat="1" applyFont="1" applyFill="1" applyBorder="1"/>
    <x:xf numFmtId="202" fontId="0" fillId="7" borderId="1" xfId="0" applyNumberFormat="1" applyFont="1" applyFill="1" applyBorder="1"/>
    <x:xf numFmtId="0" fontId="11" fillId="2" borderId="0" xfId="0" applyNumberFormat="1" applyFont="1" applyFill="1" applyBorder="1"/>
    <x:xf numFmtId="0" fontId="11" fillId="2" borderId="1" xfId="0" applyNumberFormat="1" applyFont="1" applyFill="1" applyBorder="1"/>
    <x:xf numFmtId="202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0" fillId="15" borderId="0" xfId="0" applyNumberFormat="1" applyFont="1" applyFill="1" applyBorder="1"/>
    <x:xf numFmtId="0" fontId="10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0" xfId="0" applyNumberFormat="1" applyFont="1" applyFill="1" applyBorder="1" applyAlignment="1">
      <x:alignment wrapText="1"/>
    </x:xf>
    <x:xf numFmtId="0" fontId="8" fillId="16" borderId="0" xfId="0" applyNumberFormat="1" applyFont="1" applyFill="1" applyBorder="1" applyAlignment="1">
      <x:alignment horizontal="center" wrapText="1"/>
    </x:xf>
    <x:xf numFmtId="0" fontId="8" fillId="16" borderId="0" xfId="0" applyNumberFormat="1" applyFont="1" applyFill="1" applyBorder="1" applyAlignment="1">
      <x:alignment horizontal="center" vertical="center" wrapText="1"/>
    </x:xf>
    <x:xf numFmtId="0" fontId="8" fillId="16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15" xfId="0" applyNumberFormat="1" applyFont="1" applyFill="1" applyBorder="0"/>
    <x:xf numFmtId="0" fontId="0" fillId="17" xfId="0" applyNumberFormat="1" applyFont="1" applyFill="1" applyBorder="0"/>
    <x:xf numFmtId="0" fontId="0" fillId="18" xfId="0" applyNumberFormat="1" applyFont="1" applyFill="1" applyBorder="0"/>
    <x:xf numFmtId="200" fontId="0" fillId="17" xfId="0" applyNumberFormat="1" applyFont="1" applyFill="1" applyBorder="0"/>
    <x:xf numFmtId="200" fontId="0" fillId="18" xfId="0" applyNumberFormat="1" applyFont="1" applyFill="1" applyBorder="0"/>
    <x:xf numFmtId="202" fontId="0" fillId="17" xfId="0" applyNumberFormat="1" applyFont="1" applyFill="1" applyBorder="0"/>
    <x:xf numFmtId="0" fontId="0" fillId="17" xfId="0" applyNumberFormat="1" applyFont="1" applyFill="1" applyBorder="0" applyAlignment="1">
      <x:alignment wrapText="1"/>
    </x:xf>
    <x:xf numFmtId="0" fontId="0" fillId="18" borderId="0" xfId="0" applyNumberFormat="1" applyFont="1" applyFill="1" applyBorder="1"/>
    <x:xf numFmtId="201" fontId="0" fillId="18" borderId="0" xfId="0" applyNumberFormat="1" applyFont="1" applyFill="1" applyBorder="1"/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6" fillId="19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E7F3EA"/>
        </x:patternFill>
      </x:fill>
    </x:dxf>
    <x:dxf>
      <x:fill>
        <x:patternFill>
          <x:bgColor rgb="FFFFF3D6"/>
        </x:patternFill>
      </x:fill>
    </x:dxf>
    <x:dxf>
      <x:font>
        <x:b/>
        <x:color rgb="FFA33B32"/>
      </x:font>
      <x:fill>
        <x:patternFill>
          <x:bgColor rgb="FFFBE9E7"/>
        </x:patternFill>
      </x:fill>
    </x:dxf>
    <x:dxf>
      <x:font>
        <x:b/>
        <x:color rgb="FF2E6D3B"/>
      </x:font>
      <x:fill>
        <x:patternFill>
          <x:bgColor rgb="FFE7F3EA"/>
        </x:patternFill>
      </x:fill>
    </x:dxf>
    <x:dxf>
      <x:font>
        <x:b/>
        <x:color rgb="FF2E6D3B"/>
      </x:font>
      <x:fill>
        <x:patternFill>
          <x:bgColor rgb="FFE7F3EA"/>
        </x:patternFill>
      </x:fill>
    </x:dxf>
    <x:dxf>
      <x:font>
        <x:b/>
        <x:color rgb="FFA33B32"/>
      </x:font>
      <x:fill>
        <x:patternFill>
          <x:bgColor rgb="FFFB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b0c955f3784a0d" /><Relationship Type="http://schemas.openxmlformats.org/officeDocument/2006/relationships/theme" Target="/xl/theme/theme1.xml" Id="R2636d0f3bf834821" /><Relationship Type="http://schemas.openxmlformats.org/officeDocument/2006/relationships/sharedStrings" Target="/xl/sharedStrings.xml" Id="R7999a55964a8433c" /><Relationship Type="http://schemas.openxmlformats.org/officeDocument/2006/relationships/worksheet" Target="/xl/worksheets/sheet1.xml" Id="Rc02d9ff4c6fd4960" /><Relationship Type="http://schemas.openxmlformats.org/officeDocument/2006/relationships/worksheet" Target="/xl/worksheets/sheet2.xml" Id="Rc2b2285a30aa42c1" /><Relationship Type="http://schemas.openxmlformats.org/officeDocument/2006/relationships/worksheet" Target="/xl/worksheets/sheet3.xml" Id="Rc9826de5368a45ed" /><Relationship Type="http://schemas.openxmlformats.org/officeDocument/2006/relationships/worksheet" Target="/xl/worksheets/sheet4.xml" Id="R183f1e011ab1492f" /><Relationship Type="http://schemas.openxmlformats.org/officeDocument/2006/relationships/worksheet" Target="/xl/worksheets/sheet5.xml" Id="R1890aed2cc7147f0" /><Relationship Type="http://schemas.openxmlformats.org/officeDocument/2006/relationships/worksheet" Target="/xl/worksheets/sheet6.xml" Id="R2ed253a81b1340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75" hidden="0" customWidth="1"/>
  </x:cols>
  <x:sheetData>
    <x:row r="1" ht="32" customHeight="1">
      <x:c r="A1" s="5" t="str">
        <x:v>PLANTILLA DE PROVEEDORES · WEDDING PLANNER</x:v>
      </x:c>
    </x:row>
    <x:row r="3">
      <x:c r="A3" s="10" t="str">
        <x:v>Una plantilla guiada: elegí opciones de los desplegables y escribí solo donde corresponda.</x:v>
      </x:c>
    </x:row>
    <x:row r="5">
      <x:c r="A5" s="15" t="str">
        <x:v>1</x:v>
      </x:c>
      <x:c r="B5" s="20" t="str">
        <x:v>PROVEEDORES</x:v>
      </x:c>
      <x:c r="C5" s="22" t="str">
        <x:v>Cargá un proveedor por fila. Las columnas Categoría, Moneda, Estado y Contrato tienen listas desplegables.</x:v>
      </x:c>
    </x:row>
    <x:row r="6">
      <x:c r="A6" s="15" t="str">
        <x:v>2</x:v>
      </x:c>
      <x:c r="B6" s="20" t="str">
        <x:v>PAGOS</x:v>
      </x:c>
      <x:c r="C6" s="22" t="str">
        <x:v>Elegí el proveedor desde el desplegable. Categoría y Moneda se completan automáticamente desde la hoja Proveedores.</x:v>
      </x:c>
    </x:row>
    <x:row r="7">
      <x:c r="A7" s="15" t="str">
        <x:v>3</x:v>
      </x:c>
      <x:c r="B7" s="20" t="str">
        <x:v>CAMPOS EDITABLES</x:v>
      </x:c>
      <x:c r="C7" s="22" t="str">
        <x:v>Las celdas color crema son para completar. Las grises con “AUTO” se calculan solas.</x:v>
      </x:c>
    </x:row>
    <x:row r="8">
      <x:c r="A8" s="15" t="str">
        <x:v>4</x:v>
      </x:c>
      <x:c r="B8" s="20" t="str">
        <x:v>NUEVAS OPCIONES</x:v>
      </x:c>
      <x:c r="C8" s="22" t="str">
        <x:v>En la hoja Listas podés agregar categorías o medios de pago propios. Luego aparecerán en los desplegables.</x:v>
      </x:c>
    </x:row>
    <x:row r="9">
      <x:c r="A9" s="15" t="str">
        <x:v>5</x:v>
      </x:c>
      <x:c r="B9" s="20" t="str">
        <x:v>IMPORTAR</x:v>
      </x:c>
      <x:c r="C9" s="22" t="str">
        <x:v>Guardá el Excel y subilo desde Proveedores → Importar. Los IDs deben quedar sin modificar si provienen de una exportación.</x:v>
      </x:c>
    </x:row>
    <x:row r="11">
      <x:c r="A11" s="25" t="str">
        <x:v>¿Qué campos tienen opciones?</x:v>
      </x:c>
    </x:row>
    <x:row r="12">
      <x:c r="A12" s="28" t="str">
        <x:v>Categoría</x:v>
      </x:c>
      <x:c r="B12" s="22" t="str">
        <x:v>▼ Lugar y alquiler · Catering · Decoración · Fotografía · Música · Transporte · etc.</x:v>
      </x:c>
    </x:row>
    <x:row r="13">
      <x:c r="A13" s="28" t="str">
        <x:v>Moneda</x:v>
      </x:c>
      <x:c r="B13" s="22" t="str">
        <x:v>▼ PYG · USD · ARS · BRL · EUR · UYU · CLP · COP · MXN · PEN · BOB · GBP</x:v>
      </x:c>
    </x:row>
    <x:row r="14">
      <x:c r="A14" s="28" t="str">
        <x:v>Estado proveedor</x:v>
      </x:c>
      <x:c r="B14" s="22" t="str">
        <x:v>▼ Evaluando · Cotizado · Reservado · Contratado · Finalizado · Descartado</x:v>
      </x:c>
    </x:row>
    <x:row r="15">
      <x:c r="A15" s="28" t="str">
        <x:v>Contrato</x:v>
      </x:c>
      <x:c r="B15" s="22" t="str">
        <x:v>▼ Sí · No · Pendiente</x:v>
      </x:c>
    </x:row>
    <x:row r="16">
      <x:c r="A16" s="28" t="str">
        <x:v>Medio de pago</x:v>
      </x:c>
      <x:c r="B16" s="22" t="str">
        <x:v>▼ Transferencia · Efectivo · Tarjeta · Cheque · Otro</x:v>
      </x:c>
    </x:row>
    <x:row r="17">
      <x:c r="A17" s="28" t="str">
        <x:v>Estado de pago</x:v>
      </x:c>
      <x:c r="B17" s="22" t="str">
        <x:v>▼ Pendiente · Pagado · Cancelado</x:v>
      </x:c>
    </x:row>
    <x:row r="19">
      <x:c r="A19" s="32" t="str">
        <x:v>TIP: en Excel la flecha del desplegable aparece al seleccionar la celda. Por eso los campos con opciones están marcados con fondo rosado y la leyenda “ELEGÍ ▼” en la fila de ayuda.</x:v>
      </x:c>
    </x:row>
    <x:row r="21">
      <x:c r="A21" s="90" t="str">
        <x:v>IMPORTANTE: «Estado proveedor» y «Estado de pago» son cosas distintas. Si el proveedor está solo Cotizado, dejá «Precio contratado» vacío. Completalo recién cuando pase a Reservado / Contratado.</x:v>
      </x:c>
    </x:row>
    <x:row r="22">
      <x:c r="A22" s="118" t="str">
        <x:v>COTIZACIONES: podés cargar varias propuestas del mismo rubro en la hoja Cotizaciones. La app mantiene separado «Seleccionar» (actualiza Cotizado) de «Contratar» (actualiza Contratado y permite crear el plan de pagos).</x:v>
      </x:c>
    </x:row>
  </x:sheetData>
  <x:mergeCells>
    <x:mergeCell ref="A1:H1"/>
    <x:mergeCell ref="A3:H3"/>
    <x:mergeCell ref="A11:H11"/>
    <x:mergeCell ref="A19:H20"/>
    <x:mergeCell ref="A21:C21"/>
    <x:mergeCell ref="A22:C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37" t="str">
        <x:v>Categorías</x:v>
      </x:c>
      <x:c r="B1" s="37" t="str">
        <x:v>Monedas</x:v>
      </x:c>
      <x:c r="C1" s="37" t="str">
        <x:v>Estado proveedor</x:v>
      </x:c>
      <x:c r="D1" s="37" t="str">
        <x:v>Contrato</x:v>
      </x:c>
      <x:c r="E1" s="37" t="str">
        <x:v>Medio de pago</x:v>
      </x:c>
      <x:c r="F1" s="37" t="str">
        <x:v>Estado pago</x:v>
      </x:c>
    </x:row>
    <x:row r="2">
      <x:c r="A2" t="str">
        <x:v>Lugar y alquiler</x:v>
      </x:c>
      <x:c r="B2" t="str">
        <x:v>PYG</x:v>
      </x:c>
      <x:c r="C2" t="str">
        <x:v>Evaluando</x:v>
      </x:c>
      <x:c r="D2" t="str">
        <x:v>Sí</x:v>
      </x:c>
      <x:c r="E2" t="str">
        <x:v>Transferencia</x:v>
      </x:c>
      <x:c r="F2" t="str">
        <x:v>Pendiente</x:v>
      </x:c>
    </x:row>
    <x:row r="3">
      <x:c r="A3" t="str">
        <x:v>Banquete y catering</x:v>
      </x:c>
      <x:c r="B3" t="str">
        <x:v>USD</x:v>
      </x:c>
      <x:c r="C3" t="str">
        <x:v>Cotizado</x:v>
      </x:c>
      <x:c r="D3" t="str">
        <x:v>No</x:v>
      </x:c>
      <x:c r="E3" t="str">
        <x:v>Efectivo</x:v>
      </x:c>
      <x:c r="F3" t="str">
        <x:v>Pagado</x:v>
      </x:c>
    </x:row>
    <x:row r="4">
      <x:c r="A4" t="str">
        <x:v>Bebidas</x:v>
      </x:c>
      <x:c r="B4" t="str">
        <x:v>ARS</x:v>
      </x:c>
      <x:c r="C4" t="str">
        <x:v>Reservado</x:v>
      </x:c>
      <x:c r="D4" t="str">
        <x:v>Pendiente</x:v>
      </x:c>
      <x:c r="E4" t="str">
        <x:v>Tarjeta</x:v>
      </x:c>
      <x:c r="F4" t="str">
        <x:v>Cancelado</x:v>
      </x:c>
    </x:row>
    <x:row r="5">
      <x:c r="A5" t="str">
        <x:v>Decoración y flores</x:v>
      </x:c>
      <x:c r="B5" t="str">
        <x:v>BRL</x:v>
      </x:c>
      <x:c r="C5" t="str">
        <x:v>Contratado</x:v>
      </x:c>
      <x:c r="D5"/>
      <x:c r="E5" t="str">
        <x:v>Cheque</x:v>
      </x:c>
      <x:c r="F5"/>
    </x:row>
    <x:row r="6">
      <x:c r="A6" t="str">
        <x:v>Fotografía y video</x:v>
      </x:c>
      <x:c r="B6" t="str">
        <x:v>EUR</x:v>
      </x:c>
      <x:c r="C6" t="str">
        <x:v>Finalizado</x:v>
      </x:c>
      <x:c r="D6"/>
      <x:c r="E6" t="str">
        <x:v>Otro</x:v>
      </x:c>
      <x:c r="F6"/>
    </x:row>
    <x:row r="7">
      <x:c r="A7" t="str">
        <x:v>Música y sonido</x:v>
      </x:c>
      <x:c r="B7" t="str">
        <x:v>UYU</x:v>
      </x:c>
      <x:c r="C7" t="str">
        <x:v>Descartado</x:v>
      </x:c>
      <x:c r="D7"/>
      <x:c r="E7"/>
      <x:c r="F7"/>
    </x:row>
    <x:row r="8">
      <x:c r="A8" t="str">
        <x:v>Vestuario</x:v>
      </x:c>
      <x:c r="B8" t="str">
        <x:v>CLP</x:v>
      </x:c>
      <x:c r="C8"/>
      <x:c r="D8"/>
      <x:c r="E8"/>
      <x:c r="F8"/>
    </x:row>
    <x:row r="9">
      <x:c r="A9" t="str">
        <x:v>Belleza</x:v>
      </x:c>
      <x:c r="B9" t="str">
        <x:v>COP</x:v>
      </x:c>
      <x:c r="C9"/>
      <x:c r="D9"/>
      <x:c r="E9"/>
      <x:c r="F9"/>
    </x:row>
    <x:row r="10">
      <x:c r="A10" t="str">
        <x:v>Papelería e invitaciones</x:v>
      </x:c>
      <x:c r="B10" t="str">
        <x:v>MXN</x:v>
      </x:c>
      <x:c r="C10"/>
      <x:c r="D10"/>
      <x:c r="E10"/>
      <x:c r="F10"/>
    </x:row>
    <x:row r="11">
      <x:c r="A11" t="str">
        <x:v>Transporte</x:v>
      </x:c>
      <x:c r="B11" t="str">
        <x:v>PEN</x:v>
      </x:c>
      <x:c r="C11"/>
      <x:c r="D11"/>
      <x:c r="E11"/>
      <x:c r="F11"/>
    </x:row>
    <x:row r="12">
      <x:c r="A12" t="str">
        <x:v>Ceremonia</x:v>
      </x:c>
      <x:c r="B12" t="str">
        <x:v>BOB</x:v>
      </x:c>
      <x:c r="C12"/>
      <x:c r="D12"/>
      <x:c r="E12"/>
      <x:c r="F12"/>
    </x:row>
    <x:row r="13">
      <x:c r="A13" t="str">
        <x:v>Torta y postres</x:v>
      </x:c>
      <x:c r="B13" t="str">
        <x:v>GBP</x:v>
      </x:c>
      <x:c r="C13"/>
      <x:c r="D13"/>
      <x:c r="E13"/>
      <x:c r="F13"/>
    </x:row>
    <x:row r="14">
      <x:c r="A14" t="str">
        <x:v>Entretenimiento</x:v>
      </x:c>
      <x:c r="B14"/>
      <x:c r="C14"/>
      <x:c r="D14"/>
      <x:c r="E14"/>
      <x:c r="F14"/>
    </x:row>
    <x:row r="15">
      <x:c r="A15" t="str">
        <x:v>Seguridad</x:v>
      </x:c>
      <x:c r="B15"/>
      <x:c r="C15"/>
      <x:c r="D15"/>
      <x:c r="E15"/>
      <x:c r="F15"/>
    </x:row>
    <x:row r="16">
      <x:c r="A16" t="str">
        <x:v>Generador</x:v>
      </x:c>
      <x:c r="B16"/>
      <x:c r="C16"/>
      <x:c r="D16"/>
      <x:c r="E16"/>
      <x:c r="F16"/>
    </x:row>
    <x:row r="17">
      <x:c r="A17" t="str">
        <x:v>Experiencia</x:v>
      </x:c>
      <x:c r="B17"/>
      <x:c r="C17"/>
      <x:c r="D17"/>
      <x:c r="E17"/>
      <x:c r="F17"/>
    </x:row>
    <x:row r="18">
      <x:c r="A18" t="str">
        <x:v>Otros</x:v>
      </x:c>
      <x:c r="B18"/>
      <x:c r="C18"/>
      <x:c r="D18"/>
      <x:c r="E18"/>
      <x:c r="F18"/>
    </x:row>
    <x:row r="20">
      <x:c r="A20" s="32" t="str">
        <x:v>Podés agregar nuevas categorías o medios de pago debajo de las listas. La plantilla deja espacio suficiente para personalizar opciones.</x:v>
      </x:c>
    </x:row>
  </x:sheetData>
  <x:mergeCells>
    <x:mergeCell ref="A20:F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22" hidden="0" customWidth="1"/>
    <x:col min="5" max="5" width="18" hidden="0" customWidth="1"/>
    <x:col min="6" max="6" width="26" hidden="0" customWidth="1"/>
    <x:col min="7" max="7" width="26" hidden="0" customWidth="1"/>
    <x:col min="8" max="8" width="28" hidden="0" customWidth="1"/>
    <x:col min="9" max="9" width="16" hidden="0" customWidth="1"/>
    <x:col min="10" max="10" width="16" hidden="0" customWidth="1"/>
    <x:col min="11" max="11" width="11" hidden="0" customWidth="1"/>
    <x:col min="12" max="12" width="18" hidden="0" customWidth="1"/>
    <x:col min="13" max="13" width="15" hidden="0" customWidth="1"/>
    <x:col min="14" max="14" width="13" hidden="0" customWidth="1"/>
    <x:col min="15" max="15" width="28" hidden="0" customWidth="1"/>
    <x:col min="16" max="16" width="34" hidden="0" customWidth="1"/>
    <x:col min="17" max="17" width="16" hidden="0" customWidth="1"/>
    <x:col min="18" max="18" width="16" hidden="0" customWidth="1"/>
    <x:col min="19" max="19" width="16" hidden="0" customWidth="1"/>
    <x:col min="20" max="20" width="18" hidden="0" customWidth="1"/>
    <x:col min="21" max="21" width="34" hidden="0" customWidth="1"/>
  </x:cols>
  <x:sheetData>
    <x:row r="1">
      <x:c r="A1" s="4" t="str">
        <x:v>PROVEEDORES DEL EVENTO</x:v>
      </x:c>
    </x:row>
    <x:row r="2">
      <x:c r="A2" s="42" t="str">
        <x:v>Creá un proveedor por fila. Los campos rosados tienen opciones desplegables. Los campos grises se calculan automáticamente.</x:v>
      </x:c>
    </x:row>
    <x:row r="4">
      <x:c r="A4" s="47" t="str">
        <x:v>NO EDITAR</x:v>
      </x:c>
      <x:c r="B4" s="47" t="str">
        <x:v>ESCRIBÍ</x:v>
      </x:c>
      <x:c r="C4" s="47" t="str">
        <x:v>ELEGÍ ▼</x:v>
      </x:c>
      <x:c r="D4" s="47" t="str">
        <x:v>ESCRIBÍ</x:v>
      </x:c>
      <x:c r="E4" s="47" t="str">
        <x:v>ESCRIBÍ</x:v>
      </x:c>
      <x:c r="F4" s="47" t="str">
        <x:v>ESCRIBÍ</x:v>
      </x:c>
      <x:c r="G4" s="47" t="str">
        <x:v>ESCRIBÍ</x:v>
      </x:c>
      <x:c r="H4" s="47" t="str">
        <x:v>ESCRIBÍ</x:v>
      </x:c>
      <x:c r="I4" s="47" t="str">
        <x:v>ESCRIBÍ</x:v>
      </x:c>
      <x:c r="J4" s="47" t="str">
        <x:v>SOLO SI CONTRATÁS</x:v>
      </x:c>
      <x:c r="K4" s="47" t="str">
        <x:v>ELEGÍ ▼</x:v>
      </x:c>
      <x:c r="L4" s="47" t="str">
        <x:v>ESCRIBÍ / 1</x:v>
      </x:c>
      <x:c r="M4" s="47" t="str">
        <x:v>ELEGÍ ▼</x:v>
      </x:c>
      <x:c r="N4" s="47" t="str">
        <x:v>ELEGÍ ▼</x:v>
      </x:c>
      <x:c r="O4" s="47" t="str">
        <x:v>ESCRIBÍ</x:v>
      </x:c>
      <x:c r="P4" s="47" t="str">
        <x:v>ESCRIBÍ</x:v>
      </x:c>
      <x:c r="Q4" s="47" t="str">
        <x:v>AUTO</x:v>
      </x:c>
      <x:c r="R4" s="47" t="str">
        <x:v>AUTO</x:v>
      </x:c>
      <x:c r="S4" s="47" t="str">
        <x:v>AUTO</x:v>
      </x:c>
      <x:c r="T4" s="47" t="str">
        <x:v>AUTO</x:v>
      </x:c>
      <x:c r="U4" s="80" t="str">
        <x:v>AUTO</x:v>
      </x:c>
    </x:row>
    <x:row r="5">
      <x:c r="A5" s="53" t="str">
        <x:v>ID proveedor evento</x:v>
      </x:c>
      <x:c r="B5" s="53" t="str">
        <x:v>Proveedor</x:v>
      </x:c>
      <x:c r="C5" s="53" t="str">
        <x:v>Categoría</x:v>
      </x:c>
      <x:c r="D5" s="53" t="str">
        <x:v>Contacto</x:v>
      </x:c>
      <x:c r="E5" s="53" t="str">
        <x:v>Teléfono</x:v>
      </x:c>
      <x:c r="F5" s="53" t="str">
        <x:v>Email</x:v>
      </x:c>
      <x:c r="G5" s="53" t="str">
        <x:v>Instagram / web</x:v>
      </x:c>
      <x:c r="H5" s="53" t="str">
        <x:v>Servicio contratado</x:v>
      </x:c>
      <x:c r="I5" s="53" t="str">
        <x:v>Precio cotizado</x:v>
      </x:c>
      <x:c r="J5" s="53" t="str">
        <x:v>Precio contratado</x:v>
      </x:c>
      <x:c r="K5" s="53" t="str">
        <x:v>Moneda</x:v>
      </x:c>
      <x:c r="L5" s="53" t="str">
        <x:v>Tipo de cambio a moneda base</x:v>
      </x:c>
      <x:c r="M5" s="53" t="str">
        <x:v>Estado</x:v>
      </x:c>
      <x:c r="N5" s="53" t="str">
        <x:v>Contrato</x:v>
      </x:c>
      <x:c r="O5" s="53" t="str">
        <x:v>Contrato / enlace</x:v>
      </x:c>
      <x:c r="P5" s="53" t="str">
        <x:v>Notas</x:v>
      </x:c>
      <x:c r="Q5" s="53" t="str">
        <x:v>Total pagado</x:v>
      </x:c>
      <x:c r="R5" s="53" t="str">
        <x:v>Saldo pendiente</x:v>
      </x:c>
      <x:c r="S5" s="53" t="str">
        <x:v>Próximo pago</x:v>
      </x:c>
      <x:c r="T5" s="53" t="str">
        <x:v>Estado financiero</x:v>
      </x:c>
      <x:c r="U5" s="85" t="str">
        <x:v>Revisión</x:v>
      </x:c>
    </x:row>
    <x:row r="6">
      <x:c r="A6" s="61"/>
      <x:c r="B6" s="59"/>
      <x:c r="C6" s="24"/>
      <x:c r="D6" s="59"/>
      <x:c r="E6" s="59"/>
      <x:c r="F6" s="59"/>
      <x:c r="G6" s="59"/>
      <x:c r="H6" s="59"/>
      <x:c r="I6" s="63"/>
      <x:c r="J6" s="63"/>
      <x:c r="K6" s="24"/>
      <x:c r="L6" s="65"/>
      <x:c r="M6" s="24"/>
      <x:c r="N6" s="24"/>
      <x:c r="O6" s="59"/>
      <x:c r="P6" s="71"/>
      <x:c r="Q6" s="67" t="str">
        <x:f>IF(B6="","",SUMIFS(Pagos!$G$6:$G$305,Pagos!$B$6:$B$305,B6,Pagos!$J$6:$J$305,"Pagado"))</x:f>
      </x:c>
      <x:c r="R6" s="67" t="str">
        <x:f>IF(B6="","",MAX(0,IF(J6&lt;&gt;"",J6,IF(I6&lt;&gt;"",I6,0))-Q6))</x:f>
      </x:c>
      <x:c r="S6" s="69" t="str">
        <x:f>IF(B6="","",IFERROR(MINIFS(Pagos!$E$6:$E$305,Pagos!$B$6:$B$305,B6,Pagos!$J$6:$J$305,"Pendiente",Pagos!$E$6:$E$305,"&gt;="&amp;TODAY()),""))</x:f>
      </x:c>
      <x:c r="T6" s="61" t="str">
        <x:f>IF(B6="","",IF(COUNTIFS(Pagos!$B$6:$B$305,B6,Pagos!$J$6:$J$305,"Pendiente",Pagos!$E$6:$E$305,"&lt;"&amp;TODAY())&gt;0,"Vencido",IF(Q6=0,"Sin pagos",IF(R6=0,"Pagado","Pago parcial"))))</x:f>
      </x:c>
      <x:c r="U6" s="87" t="str">
        <x:f>IF(B6="","",IF(AND(M6="Cotizado",J6&lt;&gt;""),"⚠ Quitá Precio contratado o cambiá Estado",IF(AND(OR(M6="Reservado",M6="Contratado",M6="Finalizado"),J6=""),"⚠ Falta Precio contratado","✓ OK")))</x:f>
      </x:c>
    </x:row>
    <x:row r="7">
      <x:c r="A7" s="61"/>
      <x:c r="B7" s="59"/>
      <x:c r="C7" s="24"/>
      <x:c r="D7" s="59"/>
      <x:c r="E7" s="59"/>
      <x:c r="F7" s="59"/>
      <x:c r="G7" s="59"/>
      <x:c r="H7" s="59"/>
      <x:c r="I7" s="63"/>
      <x:c r="J7" s="63"/>
      <x:c r="K7" s="24"/>
      <x:c r="L7" s="65"/>
      <x:c r="M7" s="24"/>
      <x:c r="N7" s="24"/>
      <x:c r="O7" s="59"/>
      <x:c r="P7" s="71"/>
      <x:c r="Q7" s="67" t="str">
        <x:f>IF(B7="","",SUMIFS(Pagos!$G$6:$G$305,Pagos!$B$6:$B$305,B7,Pagos!$J$6:$J$305,"Pagado"))</x:f>
      </x:c>
      <x:c r="R7" s="67" t="str">
        <x:f>IF(B7="","",MAX(0,IF(J7&lt;&gt;"",J7,IF(I7&lt;&gt;"",I7,0))-Q7))</x:f>
      </x:c>
      <x:c r="S7" s="69" t="str">
        <x:f>IF(B7="","",IFERROR(MINIFS(Pagos!$E$6:$E$305,Pagos!$B$6:$B$305,B7,Pagos!$J$6:$J$305,"Pendiente",Pagos!$E$6:$E$305,"&gt;="&amp;TODAY()),""))</x:f>
      </x:c>
      <x:c r="T7" s="61" t="str">
        <x:f>IF(B7="","",IF(COUNTIFS(Pagos!$B$6:$B$305,B7,Pagos!$J$6:$J$305,"Pendiente",Pagos!$E$6:$E$305,"&lt;"&amp;TODAY())&gt;0,"Vencido",IF(Q7=0,"Sin pagos",IF(R7=0,"Pagado","Pago parcial"))))</x:f>
      </x:c>
      <x:c r="U7" s="87" t="str">
        <x:f>IF(B7="","",IF(AND(M7="Cotizado",J7&lt;&gt;""),"⚠ Quitá Precio contratado o cambiá Estado",IF(AND(OR(M7="Reservado",M7="Contratado",M7="Finalizado"),J7=""),"⚠ Falta Precio contratado","✓ OK")))</x:f>
      </x:c>
    </x:row>
    <x:row r="8">
      <x:c r="A8" s="61"/>
      <x:c r="B8" s="59"/>
      <x:c r="C8" s="24"/>
      <x:c r="D8" s="59"/>
      <x:c r="E8" s="59"/>
      <x:c r="F8" s="59"/>
      <x:c r="G8" s="59"/>
      <x:c r="H8" s="59"/>
      <x:c r="I8" s="63"/>
      <x:c r="J8" s="63"/>
      <x:c r="K8" s="24"/>
      <x:c r="L8" s="65"/>
      <x:c r="M8" s="24"/>
      <x:c r="N8" s="24"/>
      <x:c r="O8" s="59"/>
      <x:c r="P8" s="71"/>
      <x:c r="Q8" s="67" t="str">
        <x:f>IF(B8="","",SUMIFS(Pagos!$G$6:$G$305,Pagos!$B$6:$B$305,B8,Pagos!$J$6:$J$305,"Pagado"))</x:f>
      </x:c>
      <x:c r="R8" s="67" t="str">
        <x:f>IF(B8="","",MAX(0,IF(J8&lt;&gt;"",J8,IF(I8&lt;&gt;"",I8,0))-Q8))</x:f>
      </x:c>
      <x:c r="S8" s="69" t="str">
        <x:f>IF(B8="","",IFERROR(MINIFS(Pagos!$E$6:$E$305,Pagos!$B$6:$B$305,B8,Pagos!$J$6:$J$305,"Pendiente",Pagos!$E$6:$E$305,"&gt;="&amp;TODAY()),""))</x:f>
      </x:c>
      <x:c r="T8" s="61" t="str">
        <x:f>IF(B8="","",IF(COUNTIFS(Pagos!$B$6:$B$305,B8,Pagos!$J$6:$J$305,"Pendiente",Pagos!$E$6:$E$305,"&lt;"&amp;TODAY())&gt;0,"Vencido",IF(Q8=0,"Sin pagos",IF(R8=0,"Pagado","Pago parcial"))))</x:f>
      </x:c>
      <x:c r="U8" s="87" t="str">
        <x:f>IF(B8="","",IF(AND(M8="Cotizado",J8&lt;&gt;""),"⚠ Quitá Precio contratado o cambiá Estado",IF(AND(OR(M8="Reservado",M8="Contratado",M8="Finalizado"),J8=""),"⚠ Falta Precio contratado","✓ OK")))</x:f>
      </x:c>
    </x:row>
    <x:row r="9">
      <x:c r="A9" s="61"/>
      <x:c r="B9" s="59"/>
      <x:c r="C9" s="24"/>
      <x:c r="D9" s="59"/>
      <x:c r="E9" s="59"/>
      <x:c r="F9" s="59"/>
      <x:c r="G9" s="59"/>
      <x:c r="H9" s="59"/>
      <x:c r="I9" s="63"/>
      <x:c r="J9" s="63"/>
      <x:c r="K9" s="24"/>
      <x:c r="L9" s="65"/>
      <x:c r="M9" s="24"/>
      <x:c r="N9" s="24"/>
      <x:c r="O9" s="59"/>
      <x:c r="P9" s="71"/>
      <x:c r="Q9" s="67" t="str">
        <x:f>IF(B9="","",SUMIFS(Pagos!$G$6:$G$305,Pagos!$B$6:$B$305,B9,Pagos!$J$6:$J$305,"Pagado"))</x:f>
      </x:c>
      <x:c r="R9" s="67" t="str">
        <x:f>IF(B9="","",MAX(0,IF(J9&lt;&gt;"",J9,IF(I9&lt;&gt;"",I9,0))-Q9))</x:f>
      </x:c>
      <x:c r="S9" s="69" t="str">
        <x:f>IF(B9="","",IFERROR(MINIFS(Pagos!$E$6:$E$305,Pagos!$B$6:$B$305,B9,Pagos!$J$6:$J$305,"Pendiente",Pagos!$E$6:$E$305,"&gt;="&amp;TODAY()),""))</x:f>
      </x:c>
      <x:c r="T9" s="61" t="str">
        <x:f>IF(B9="","",IF(COUNTIFS(Pagos!$B$6:$B$305,B9,Pagos!$J$6:$J$305,"Pendiente",Pagos!$E$6:$E$305,"&lt;"&amp;TODAY())&gt;0,"Vencido",IF(Q9=0,"Sin pagos",IF(R9=0,"Pagado","Pago parcial"))))</x:f>
      </x:c>
      <x:c r="U9" s="87" t="str">
        <x:f>IF(B9="","",IF(AND(M9="Cotizado",J9&lt;&gt;""),"⚠ Quitá Precio contratado o cambiá Estado",IF(AND(OR(M9="Reservado",M9="Contratado",M9="Finalizado"),J9=""),"⚠ Falta Precio contratado","✓ OK")))</x:f>
      </x:c>
    </x:row>
    <x:row r="10">
      <x:c r="A10" s="61"/>
      <x:c r="B10" s="59"/>
      <x:c r="C10" s="24"/>
      <x:c r="D10" s="59"/>
      <x:c r="E10" s="59"/>
      <x:c r="F10" s="59"/>
      <x:c r="G10" s="59"/>
      <x:c r="H10" s="59"/>
      <x:c r="I10" s="63"/>
      <x:c r="J10" s="63"/>
      <x:c r="K10" s="24"/>
      <x:c r="L10" s="65"/>
      <x:c r="M10" s="24"/>
      <x:c r="N10" s="24"/>
      <x:c r="O10" s="59"/>
      <x:c r="P10" s="71"/>
      <x:c r="Q10" s="67" t="str">
        <x:f>IF(B10="","",SUMIFS(Pagos!$G$6:$G$305,Pagos!$B$6:$B$305,B10,Pagos!$J$6:$J$305,"Pagado"))</x:f>
      </x:c>
      <x:c r="R10" s="67" t="str">
        <x:f>IF(B10="","",MAX(0,IF(J10&lt;&gt;"",J10,IF(I10&lt;&gt;"",I10,0))-Q10))</x:f>
      </x:c>
      <x:c r="S10" s="69" t="str">
        <x:f>IF(B10="","",IFERROR(MINIFS(Pagos!$E$6:$E$305,Pagos!$B$6:$B$305,B10,Pagos!$J$6:$J$305,"Pendiente",Pagos!$E$6:$E$305,"&gt;="&amp;TODAY()),""))</x:f>
      </x:c>
      <x:c r="T10" s="61" t="str">
        <x:f>IF(B10="","",IF(COUNTIFS(Pagos!$B$6:$B$305,B10,Pagos!$J$6:$J$305,"Pendiente",Pagos!$E$6:$E$305,"&lt;"&amp;TODAY())&gt;0,"Vencido",IF(Q10=0,"Sin pagos",IF(R10=0,"Pagado","Pago parcial"))))</x:f>
      </x:c>
      <x:c r="U10" s="87" t="str">
        <x:f>IF(B10="","",IF(AND(M10="Cotizado",J10&lt;&gt;""),"⚠ Quitá Precio contratado o cambiá Estado",IF(AND(OR(M10="Reservado",M10="Contratado",M10="Finalizado"),J10=""),"⚠ Falta Precio contratado","✓ OK")))</x:f>
      </x:c>
    </x:row>
    <x:row r="11">
      <x:c r="A11" s="61"/>
      <x:c r="B11" s="59"/>
      <x:c r="C11" s="24"/>
      <x:c r="D11" s="59"/>
      <x:c r="E11" s="59"/>
      <x:c r="F11" s="59"/>
      <x:c r="G11" s="59"/>
      <x:c r="H11" s="59"/>
      <x:c r="I11" s="63"/>
      <x:c r="J11" s="63"/>
      <x:c r="K11" s="24"/>
      <x:c r="L11" s="65"/>
      <x:c r="M11" s="24"/>
      <x:c r="N11" s="24"/>
      <x:c r="O11" s="59"/>
      <x:c r="P11" s="71"/>
      <x:c r="Q11" s="67" t="str">
        <x:f>IF(B11="","",SUMIFS(Pagos!$G$6:$G$305,Pagos!$B$6:$B$305,B11,Pagos!$J$6:$J$305,"Pagado"))</x:f>
      </x:c>
      <x:c r="R11" s="67" t="str">
        <x:f>IF(B11="","",MAX(0,IF(J11&lt;&gt;"",J11,IF(I11&lt;&gt;"",I11,0))-Q11))</x:f>
      </x:c>
      <x:c r="S11" s="69" t="str">
        <x:f>IF(B11="","",IFERROR(MINIFS(Pagos!$E$6:$E$305,Pagos!$B$6:$B$305,B11,Pagos!$J$6:$J$305,"Pendiente",Pagos!$E$6:$E$305,"&gt;="&amp;TODAY()),""))</x:f>
      </x:c>
      <x:c r="T11" s="61" t="str">
        <x:f>IF(B11="","",IF(COUNTIFS(Pagos!$B$6:$B$305,B11,Pagos!$J$6:$J$305,"Pendiente",Pagos!$E$6:$E$305,"&lt;"&amp;TODAY())&gt;0,"Vencido",IF(Q11=0,"Sin pagos",IF(R11=0,"Pagado","Pago parcial"))))</x:f>
      </x:c>
      <x:c r="U11" s="87" t="str">
        <x:f>IF(B11="","",IF(AND(M11="Cotizado",J11&lt;&gt;""),"⚠ Quitá Precio contratado o cambiá Estado",IF(AND(OR(M11="Reservado",M11="Contratado",M11="Finalizado"),J11=""),"⚠ Falta Precio contratado","✓ OK")))</x:f>
      </x:c>
    </x:row>
    <x:row r="12">
      <x:c r="A12" s="61"/>
      <x:c r="B12" s="59"/>
      <x:c r="C12" s="24"/>
      <x:c r="D12" s="59"/>
      <x:c r="E12" s="59"/>
      <x:c r="F12" s="59"/>
      <x:c r="G12" s="59"/>
      <x:c r="H12" s="59"/>
      <x:c r="I12" s="63"/>
      <x:c r="J12" s="63"/>
      <x:c r="K12" s="24"/>
      <x:c r="L12" s="65"/>
      <x:c r="M12" s="24"/>
      <x:c r="N12" s="24"/>
      <x:c r="O12" s="59"/>
      <x:c r="P12" s="71"/>
      <x:c r="Q12" s="67" t="str">
        <x:f>IF(B12="","",SUMIFS(Pagos!$G$6:$G$305,Pagos!$B$6:$B$305,B12,Pagos!$J$6:$J$305,"Pagado"))</x:f>
      </x:c>
      <x:c r="R12" s="67" t="str">
        <x:f>IF(B12="","",MAX(0,IF(J12&lt;&gt;"",J12,IF(I12&lt;&gt;"",I12,0))-Q12))</x:f>
      </x:c>
      <x:c r="S12" s="69" t="str">
        <x:f>IF(B12="","",IFERROR(MINIFS(Pagos!$E$6:$E$305,Pagos!$B$6:$B$305,B12,Pagos!$J$6:$J$305,"Pendiente",Pagos!$E$6:$E$305,"&gt;="&amp;TODAY()),""))</x:f>
      </x:c>
      <x:c r="T12" s="61" t="str">
        <x:f>IF(B12="","",IF(COUNTIFS(Pagos!$B$6:$B$305,B12,Pagos!$J$6:$J$305,"Pendiente",Pagos!$E$6:$E$305,"&lt;"&amp;TODAY())&gt;0,"Vencido",IF(Q12=0,"Sin pagos",IF(R12=0,"Pagado","Pago parcial"))))</x:f>
      </x:c>
      <x:c r="U12" s="87" t="str">
        <x:f>IF(B12="","",IF(AND(M12="Cotizado",J12&lt;&gt;""),"⚠ Quitá Precio contratado o cambiá Estado",IF(AND(OR(M12="Reservado",M12="Contratado",M12="Finalizado"),J12=""),"⚠ Falta Precio contratado","✓ OK")))</x:f>
      </x:c>
    </x:row>
    <x:row r="13">
      <x:c r="A13" s="61"/>
      <x:c r="B13" s="59"/>
      <x:c r="C13" s="24"/>
      <x:c r="D13" s="59"/>
      <x:c r="E13" s="59"/>
      <x:c r="F13" s="59"/>
      <x:c r="G13" s="59"/>
      <x:c r="H13" s="59"/>
      <x:c r="I13" s="63"/>
      <x:c r="J13" s="63"/>
      <x:c r="K13" s="24"/>
      <x:c r="L13" s="65"/>
      <x:c r="M13" s="24"/>
      <x:c r="N13" s="24"/>
      <x:c r="O13" s="59"/>
      <x:c r="P13" s="71"/>
      <x:c r="Q13" s="67" t="str">
        <x:f>IF(B13="","",SUMIFS(Pagos!$G$6:$G$305,Pagos!$B$6:$B$305,B13,Pagos!$J$6:$J$305,"Pagado"))</x:f>
      </x:c>
      <x:c r="R13" s="67" t="str">
        <x:f>IF(B13="","",MAX(0,IF(J13&lt;&gt;"",J13,IF(I13&lt;&gt;"",I13,0))-Q13))</x:f>
      </x:c>
      <x:c r="S13" s="69" t="str">
        <x:f>IF(B13="","",IFERROR(MINIFS(Pagos!$E$6:$E$305,Pagos!$B$6:$B$305,B13,Pagos!$J$6:$J$305,"Pendiente",Pagos!$E$6:$E$305,"&gt;="&amp;TODAY()),""))</x:f>
      </x:c>
      <x:c r="T13" s="61" t="str">
        <x:f>IF(B13="","",IF(COUNTIFS(Pagos!$B$6:$B$305,B13,Pagos!$J$6:$J$305,"Pendiente",Pagos!$E$6:$E$305,"&lt;"&amp;TODAY())&gt;0,"Vencido",IF(Q13=0,"Sin pagos",IF(R13=0,"Pagado","Pago parcial"))))</x:f>
      </x:c>
      <x:c r="U13" s="87" t="str">
        <x:f>IF(B13="","",IF(AND(M13="Cotizado",J13&lt;&gt;""),"⚠ Quitá Precio contratado o cambiá Estado",IF(AND(OR(M13="Reservado",M13="Contratado",M13="Finalizado"),J13=""),"⚠ Falta Precio contratado","✓ OK")))</x:f>
      </x:c>
    </x:row>
    <x:row r="14">
      <x:c r="A14" s="61"/>
      <x:c r="B14" s="59"/>
      <x:c r="C14" s="24"/>
      <x:c r="D14" s="59"/>
      <x:c r="E14" s="59"/>
      <x:c r="F14" s="59"/>
      <x:c r="G14" s="59"/>
      <x:c r="H14" s="59"/>
      <x:c r="I14" s="63"/>
      <x:c r="J14" s="63"/>
      <x:c r="K14" s="24"/>
      <x:c r="L14" s="65"/>
      <x:c r="M14" s="24"/>
      <x:c r="N14" s="24"/>
      <x:c r="O14" s="59"/>
      <x:c r="P14" s="71"/>
      <x:c r="Q14" s="67" t="str">
        <x:f>IF(B14="","",SUMIFS(Pagos!$G$6:$G$305,Pagos!$B$6:$B$305,B14,Pagos!$J$6:$J$305,"Pagado"))</x:f>
      </x:c>
      <x:c r="R14" s="67" t="str">
        <x:f>IF(B14="","",MAX(0,IF(J14&lt;&gt;"",J14,IF(I14&lt;&gt;"",I14,0))-Q14))</x:f>
      </x:c>
      <x:c r="S14" s="69" t="str">
        <x:f>IF(B14="","",IFERROR(MINIFS(Pagos!$E$6:$E$305,Pagos!$B$6:$B$305,B14,Pagos!$J$6:$J$305,"Pendiente",Pagos!$E$6:$E$305,"&gt;="&amp;TODAY()),""))</x:f>
      </x:c>
      <x:c r="T14" s="61" t="str">
        <x:f>IF(B14="","",IF(COUNTIFS(Pagos!$B$6:$B$305,B14,Pagos!$J$6:$J$305,"Pendiente",Pagos!$E$6:$E$305,"&lt;"&amp;TODAY())&gt;0,"Vencido",IF(Q14=0,"Sin pagos",IF(R14=0,"Pagado","Pago parcial"))))</x:f>
      </x:c>
      <x:c r="U14" s="87" t="str">
        <x:f>IF(B14="","",IF(AND(M14="Cotizado",J14&lt;&gt;""),"⚠ Quitá Precio contratado o cambiá Estado",IF(AND(OR(M14="Reservado",M14="Contratado",M14="Finalizado"),J14=""),"⚠ Falta Precio contratado","✓ OK")))</x:f>
      </x:c>
    </x:row>
    <x:row r="15">
      <x:c r="A15" s="61"/>
      <x:c r="B15" s="59"/>
      <x:c r="C15" s="24"/>
      <x:c r="D15" s="59"/>
      <x:c r="E15" s="59"/>
      <x:c r="F15" s="59"/>
      <x:c r="G15" s="59"/>
      <x:c r="H15" s="59"/>
      <x:c r="I15" s="63"/>
      <x:c r="J15" s="63"/>
      <x:c r="K15" s="24"/>
      <x:c r="L15" s="65"/>
      <x:c r="M15" s="24"/>
      <x:c r="N15" s="24"/>
      <x:c r="O15" s="59"/>
      <x:c r="P15" s="71"/>
      <x:c r="Q15" s="67" t="str">
        <x:f>IF(B15="","",SUMIFS(Pagos!$G$6:$G$305,Pagos!$B$6:$B$305,B15,Pagos!$J$6:$J$305,"Pagado"))</x:f>
      </x:c>
      <x:c r="R15" s="67" t="str">
        <x:f>IF(B15="","",MAX(0,IF(J15&lt;&gt;"",J15,IF(I15&lt;&gt;"",I15,0))-Q15))</x:f>
      </x:c>
      <x:c r="S15" s="69" t="str">
        <x:f>IF(B15="","",IFERROR(MINIFS(Pagos!$E$6:$E$305,Pagos!$B$6:$B$305,B15,Pagos!$J$6:$J$305,"Pendiente",Pagos!$E$6:$E$305,"&gt;="&amp;TODAY()),""))</x:f>
      </x:c>
      <x:c r="T15" s="61" t="str">
        <x:f>IF(B15="","",IF(COUNTIFS(Pagos!$B$6:$B$305,B15,Pagos!$J$6:$J$305,"Pendiente",Pagos!$E$6:$E$305,"&lt;"&amp;TODAY())&gt;0,"Vencido",IF(Q15=0,"Sin pagos",IF(R15=0,"Pagado","Pago parcial"))))</x:f>
      </x:c>
      <x:c r="U15" s="87" t="str">
        <x:f>IF(B15="","",IF(AND(M15="Cotizado",J15&lt;&gt;""),"⚠ Quitá Precio contratado o cambiá Estado",IF(AND(OR(M15="Reservado",M15="Contratado",M15="Finalizado"),J15=""),"⚠ Falta Precio contratado","✓ OK")))</x:f>
      </x:c>
    </x:row>
    <x:row r="16">
      <x:c r="A16" s="61"/>
      <x:c r="B16" s="59"/>
      <x:c r="C16" s="24"/>
      <x:c r="D16" s="59"/>
      <x:c r="E16" s="59"/>
      <x:c r="F16" s="59"/>
      <x:c r="G16" s="59"/>
      <x:c r="H16" s="59"/>
      <x:c r="I16" s="63"/>
      <x:c r="J16" s="63"/>
      <x:c r="K16" s="24"/>
      <x:c r="L16" s="65"/>
      <x:c r="M16" s="24"/>
      <x:c r="N16" s="24"/>
      <x:c r="O16" s="59"/>
      <x:c r="P16" s="71"/>
      <x:c r="Q16" s="67" t="str">
        <x:f>IF(B16="","",SUMIFS(Pagos!$G$6:$G$305,Pagos!$B$6:$B$305,B16,Pagos!$J$6:$J$305,"Pagado"))</x:f>
      </x:c>
      <x:c r="R16" s="67" t="str">
        <x:f>IF(B16="","",MAX(0,IF(J16&lt;&gt;"",J16,IF(I16&lt;&gt;"",I16,0))-Q16))</x:f>
      </x:c>
      <x:c r="S16" s="69" t="str">
        <x:f>IF(B16="","",IFERROR(MINIFS(Pagos!$E$6:$E$305,Pagos!$B$6:$B$305,B16,Pagos!$J$6:$J$305,"Pendiente",Pagos!$E$6:$E$305,"&gt;="&amp;TODAY()),""))</x:f>
      </x:c>
      <x:c r="T16" s="61" t="str">
        <x:f>IF(B16="","",IF(COUNTIFS(Pagos!$B$6:$B$305,B16,Pagos!$J$6:$J$305,"Pendiente",Pagos!$E$6:$E$305,"&lt;"&amp;TODAY())&gt;0,"Vencido",IF(Q16=0,"Sin pagos",IF(R16=0,"Pagado","Pago parcial"))))</x:f>
      </x:c>
      <x:c r="U16" s="87" t="str">
        <x:f>IF(B16="","",IF(AND(M16="Cotizado",J16&lt;&gt;""),"⚠ Quitá Precio contratado o cambiá Estado",IF(AND(OR(M16="Reservado",M16="Contratado",M16="Finalizado"),J16=""),"⚠ Falta Precio contratado","✓ OK")))</x:f>
      </x:c>
    </x:row>
    <x:row r="17">
      <x:c r="A17" s="61"/>
      <x:c r="B17" s="59"/>
      <x:c r="C17" s="24"/>
      <x:c r="D17" s="59"/>
      <x:c r="E17" s="59"/>
      <x:c r="F17" s="59"/>
      <x:c r="G17" s="59"/>
      <x:c r="H17" s="59"/>
      <x:c r="I17" s="63"/>
      <x:c r="J17" s="63"/>
      <x:c r="K17" s="24"/>
      <x:c r="L17" s="65"/>
      <x:c r="M17" s="24"/>
      <x:c r="N17" s="24"/>
      <x:c r="O17" s="59"/>
      <x:c r="P17" s="71"/>
      <x:c r="Q17" s="67" t="str">
        <x:f>IF(B17="","",SUMIFS(Pagos!$G$6:$G$305,Pagos!$B$6:$B$305,B17,Pagos!$J$6:$J$305,"Pagado"))</x:f>
      </x:c>
      <x:c r="R17" s="67" t="str">
        <x:f>IF(B17="","",MAX(0,IF(J17&lt;&gt;"",J17,IF(I17&lt;&gt;"",I17,0))-Q17))</x:f>
      </x:c>
      <x:c r="S17" s="69" t="str">
        <x:f>IF(B17="","",IFERROR(MINIFS(Pagos!$E$6:$E$305,Pagos!$B$6:$B$305,B17,Pagos!$J$6:$J$305,"Pendiente",Pagos!$E$6:$E$305,"&gt;="&amp;TODAY()),""))</x:f>
      </x:c>
      <x:c r="T17" s="61" t="str">
        <x:f>IF(B17="","",IF(COUNTIFS(Pagos!$B$6:$B$305,B17,Pagos!$J$6:$J$305,"Pendiente",Pagos!$E$6:$E$305,"&lt;"&amp;TODAY())&gt;0,"Vencido",IF(Q17=0,"Sin pagos",IF(R17=0,"Pagado","Pago parcial"))))</x:f>
      </x:c>
      <x:c r="U17" s="87" t="str">
        <x:f>IF(B17="","",IF(AND(M17="Cotizado",J17&lt;&gt;""),"⚠ Quitá Precio contratado o cambiá Estado",IF(AND(OR(M17="Reservado",M17="Contratado",M17="Finalizado"),J17=""),"⚠ Falta Precio contratado","✓ OK")))</x:f>
      </x:c>
    </x:row>
    <x:row r="18">
      <x:c r="A18" s="61"/>
      <x:c r="B18" s="59"/>
      <x:c r="C18" s="24"/>
      <x:c r="D18" s="59"/>
      <x:c r="E18" s="59"/>
      <x:c r="F18" s="59"/>
      <x:c r="G18" s="59"/>
      <x:c r="H18" s="59"/>
      <x:c r="I18" s="63"/>
      <x:c r="J18" s="63"/>
      <x:c r="K18" s="24"/>
      <x:c r="L18" s="65"/>
      <x:c r="M18" s="24"/>
      <x:c r="N18" s="24"/>
      <x:c r="O18" s="59"/>
      <x:c r="P18" s="71"/>
      <x:c r="Q18" s="67" t="str">
        <x:f>IF(B18="","",SUMIFS(Pagos!$G$6:$G$305,Pagos!$B$6:$B$305,B18,Pagos!$J$6:$J$305,"Pagado"))</x:f>
      </x:c>
      <x:c r="R18" s="67" t="str">
        <x:f>IF(B18="","",MAX(0,IF(J18&lt;&gt;"",J18,IF(I18&lt;&gt;"",I18,0))-Q18))</x:f>
      </x:c>
      <x:c r="S18" s="69" t="str">
        <x:f>IF(B18="","",IFERROR(MINIFS(Pagos!$E$6:$E$305,Pagos!$B$6:$B$305,B18,Pagos!$J$6:$J$305,"Pendiente",Pagos!$E$6:$E$305,"&gt;="&amp;TODAY()),""))</x:f>
      </x:c>
      <x:c r="T18" s="61" t="str">
        <x:f>IF(B18="","",IF(COUNTIFS(Pagos!$B$6:$B$305,B18,Pagos!$J$6:$J$305,"Pendiente",Pagos!$E$6:$E$305,"&lt;"&amp;TODAY())&gt;0,"Vencido",IF(Q18=0,"Sin pagos",IF(R18=0,"Pagado","Pago parcial"))))</x:f>
      </x:c>
      <x:c r="U18" s="87" t="str">
        <x:f>IF(B18="","",IF(AND(M18="Cotizado",J18&lt;&gt;""),"⚠ Quitá Precio contratado o cambiá Estado",IF(AND(OR(M18="Reservado",M18="Contratado",M18="Finalizado"),J18=""),"⚠ Falta Precio contratado","✓ OK")))</x:f>
      </x:c>
    </x:row>
    <x:row r="19">
      <x:c r="A19" s="61"/>
      <x:c r="B19" s="59"/>
      <x:c r="C19" s="24"/>
      <x:c r="D19" s="59"/>
      <x:c r="E19" s="59"/>
      <x:c r="F19" s="59"/>
      <x:c r="G19" s="59"/>
      <x:c r="H19" s="59"/>
      <x:c r="I19" s="63"/>
      <x:c r="J19" s="63"/>
      <x:c r="K19" s="24"/>
      <x:c r="L19" s="65"/>
      <x:c r="M19" s="24"/>
      <x:c r="N19" s="24"/>
      <x:c r="O19" s="59"/>
      <x:c r="P19" s="71"/>
      <x:c r="Q19" s="67" t="str">
        <x:f>IF(B19="","",SUMIFS(Pagos!$G$6:$G$305,Pagos!$B$6:$B$305,B19,Pagos!$J$6:$J$305,"Pagado"))</x:f>
      </x:c>
      <x:c r="R19" s="67" t="str">
        <x:f>IF(B19="","",MAX(0,IF(J19&lt;&gt;"",J19,IF(I19&lt;&gt;"",I19,0))-Q19))</x:f>
      </x:c>
      <x:c r="S19" s="69" t="str">
        <x:f>IF(B19="","",IFERROR(MINIFS(Pagos!$E$6:$E$305,Pagos!$B$6:$B$305,B19,Pagos!$J$6:$J$305,"Pendiente",Pagos!$E$6:$E$305,"&gt;="&amp;TODAY()),""))</x:f>
      </x:c>
      <x:c r="T19" s="61" t="str">
        <x:f>IF(B19="","",IF(COUNTIFS(Pagos!$B$6:$B$305,B19,Pagos!$J$6:$J$305,"Pendiente",Pagos!$E$6:$E$305,"&lt;"&amp;TODAY())&gt;0,"Vencido",IF(Q19=0,"Sin pagos",IF(R19=0,"Pagado","Pago parcial"))))</x:f>
      </x:c>
      <x:c r="U19" s="87" t="str">
        <x:f>IF(B19="","",IF(AND(M19="Cotizado",J19&lt;&gt;""),"⚠ Quitá Precio contratado o cambiá Estado",IF(AND(OR(M19="Reservado",M19="Contratado",M19="Finalizado"),J19=""),"⚠ Falta Precio contratado","✓ OK")))</x:f>
      </x:c>
    </x:row>
    <x:row r="20">
      <x:c r="A20" s="61"/>
      <x:c r="B20" s="59"/>
      <x:c r="C20" s="24"/>
      <x:c r="D20" s="59"/>
      <x:c r="E20" s="59"/>
      <x:c r="F20" s="59"/>
      <x:c r="G20" s="59"/>
      <x:c r="H20" s="59"/>
      <x:c r="I20" s="63"/>
      <x:c r="J20" s="63"/>
      <x:c r="K20" s="24"/>
      <x:c r="L20" s="65"/>
      <x:c r="M20" s="24"/>
      <x:c r="N20" s="24"/>
      <x:c r="O20" s="59"/>
      <x:c r="P20" s="71"/>
      <x:c r="Q20" s="67" t="str">
        <x:f>IF(B20="","",SUMIFS(Pagos!$G$6:$G$305,Pagos!$B$6:$B$305,B20,Pagos!$J$6:$J$305,"Pagado"))</x:f>
      </x:c>
      <x:c r="R20" s="67" t="str">
        <x:f>IF(B20="","",MAX(0,IF(J20&lt;&gt;"",J20,IF(I20&lt;&gt;"",I20,0))-Q20))</x:f>
      </x:c>
      <x:c r="S20" s="69" t="str">
        <x:f>IF(B20="","",IFERROR(MINIFS(Pagos!$E$6:$E$305,Pagos!$B$6:$B$305,B20,Pagos!$J$6:$J$305,"Pendiente",Pagos!$E$6:$E$305,"&gt;="&amp;TODAY()),""))</x:f>
      </x:c>
      <x:c r="T20" s="61" t="str">
        <x:f>IF(B20="","",IF(COUNTIFS(Pagos!$B$6:$B$305,B20,Pagos!$J$6:$J$305,"Pendiente",Pagos!$E$6:$E$305,"&lt;"&amp;TODAY())&gt;0,"Vencido",IF(Q20=0,"Sin pagos",IF(R20=0,"Pagado","Pago parcial"))))</x:f>
      </x:c>
      <x:c r="U20" s="87" t="str">
        <x:f>IF(B20="","",IF(AND(M20="Cotizado",J20&lt;&gt;""),"⚠ Quitá Precio contratado o cambiá Estado",IF(AND(OR(M20="Reservado",M20="Contratado",M20="Finalizado"),J20=""),"⚠ Falta Precio contratado","✓ OK")))</x:f>
      </x:c>
    </x:row>
    <x:row r="21">
      <x:c r="A21" s="61"/>
      <x:c r="B21" s="59"/>
      <x:c r="C21" s="24"/>
      <x:c r="D21" s="59"/>
      <x:c r="E21" s="59"/>
      <x:c r="F21" s="59"/>
      <x:c r="G21" s="59"/>
      <x:c r="H21" s="59"/>
      <x:c r="I21" s="63"/>
      <x:c r="J21" s="63"/>
      <x:c r="K21" s="24"/>
      <x:c r="L21" s="65"/>
      <x:c r="M21" s="24"/>
      <x:c r="N21" s="24"/>
      <x:c r="O21" s="59"/>
      <x:c r="P21" s="71"/>
      <x:c r="Q21" s="67" t="str">
        <x:f>IF(B21="","",SUMIFS(Pagos!$G$6:$G$305,Pagos!$B$6:$B$305,B21,Pagos!$J$6:$J$305,"Pagado"))</x:f>
      </x:c>
      <x:c r="R21" s="67" t="str">
        <x:f>IF(B21="","",MAX(0,IF(J21&lt;&gt;"",J21,IF(I21&lt;&gt;"",I21,0))-Q21))</x:f>
      </x:c>
      <x:c r="S21" s="69" t="str">
        <x:f>IF(B21="","",IFERROR(MINIFS(Pagos!$E$6:$E$305,Pagos!$B$6:$B$305,B21,Pagos!$J$6:$J$305,"Pendiente",Pagos!$E$6:$E$305,"&gt;="&amp;TODAY()),""))</x:f>
      </x:c>
      <x:c r="T21" s="61" t="str">
        <x:f>IF(B21="","",IF(COUNTIFS(Pagos!$B$6:$B$305,B21,Pagos!$J$6:$J$305,"Pendiente",Pagos!$E$6:$E$305,"&lt;"&amp;TODAY())&gt;0,"Vencido",IF(Q21=0,"Sin pagos",IF(R21=0,"Pagado","Pago parcial"))))</x:f>
      </x:c>
      <x:c r="U21" s="87" t="str">
        <x:f>IF(B21="","",IF(AND(M21="Cotizado",J21&lt;&gt;""),"⚠ Quitá Precio contratado o cambiá Estado",IF(AND(OR(M21="Reservado",M21="Contratado",M21="Finalizado"),J21=""),"⚠ Falta Precio contratado","✓ OK")))</x:f>
      </x:c>
    </x:row>
    <x:row r="22">
      <x:c r="A22" s="61"/>
      <x:c r="B22" s="59"/>
      <x:c r="C22" s="24"/>
      <x:c r="D22" s="59"/>
      <x:c r="E22" s="59"/>
      <x:c r="F22" s="59"/>
      <x:c r="G22" s="59"/>
      <x:c r="H22" s="59"/>
      <x:c r="I22" s="63"/>
      <x:c r="J22" s="63"/>
      <x:c r="K22" s="24"/>
      <x:c r="L22" s="65"/>
      <x:c r="M22" s="24"/>
      <x:c r="N22" s="24"/>
      <x:c r="O22" s="59"/>
      <x:c r="P22" s="71"/>
      <x:c r="Q22" s="67" t="str">
        <x:f>IF(B22="","",SUMIFS(Pagos!$G$6:$G$305,Pagos!$B$6:$B$305,B22,Pagos!$J$6:$J$305,"Pagado"))</x:f>
      </x:c>
      <x:c r="R22" s="67" t="str">
        <x:f>IF(B22="","",MAX(0,IF(J22&lt;&gt;"",J22,IF(I22&lt;&gt;"",I22,0))-Q22))</x:f>
      </x:c>
      <x:c r="S22" s="69" t="str">
        <x:f>IF(B22="","",IFERROR(MINIFS(Pagos!$E$6:$E$305,Pagos!$B$6:$B$305,B22,Pagos!$J$6:$J$305,"Pendiente",Pagos!$E$6:$E$305,"&gt;="&amp;TODAY()),""))</x:f>
      </x:c>
      <x:c r="T22" s="61" t="str">
        <x:f>IF(B22="","",IF(COUNTIFS(Pagos!$B$6:$B$305,B22,Pagos!$J$6:$J$305,"Pendiente",Pagos!$E$6:$E$305,"&lt;"&amp;TODAY())&gt;0,"Vencido",IF(Q22=0,"Sin pagos",IF(R22=0,"Pagado","Pago parcial"))))</x:f>
      </x:c>
      <x:c r="U22" s="87" t="str">
        <x:f>IF(B22="","",IF(AND(M22="Cotizado",J22&lt;&gt;""),"⚠ Quitá Precio contratado o cambiá Estado",IF(AND(OR(M22="Reservado",M22="Contratado",M22="Finalizado"),J22=""),"⚠ Falta Precio contratado","✓ OK")))</x:f>
      </x:c>
    </x:row>
    <x:row r="23">
      <x:c r="A23" s="61"/>
      <x:c r="B23" s="59"/>
      <x:c r="C23" s="24"/>
      <x:c r="D23" s="59"/>
      <x:c r="E23" s="59"/>
      <x:c r="F23" s="59"/>
      <x:c r="G23" s="59"/>
      <x:c r="H23" s="59"/>
      <x:c r="I23" s="63"/>
      <x:c r="J23" s="63"/>
      <x:c r="K23" s="24"/>
      <x:c r="L23" s="65"/>
      <x:c r="M23" s="24"/>
      <x:c r="N23" s="24"/>
      <x:c r="O23" s="59"/>
      <x:c r="P23" s="71"/>
      <x:c r="Q23" s="67" t="str">
        <x:f>IF(B23="","",SUMIFS(Pagos!$G$6:$G$305,Pagos!$B$6:$B$305,B23,Pagos!$J$6:$J$305,"Pagado"))</x:f>
      </x:c>
      <x:c r="R23" s="67" t="str">
        <x:f>IF(B23="","",MAX(0,IF(J23&lt;&gt;"",J23,IF(I23&lt;&gt;"",I23,0))-Q23))</x:f>
      </x:c>
      <x:c r="S23" s="69" t="str">
        <x:f>IF(B23="","",IFERROR(MINIFS(Pagos!$E$6:$E$305,Pagos!$B$6:$B$305,B23,Pagos!$J$6:$J$305,"Pendiente",Pagos!$E$6:$E$305,"&gt;="&amp;TODAY()),""))</x:f>
      </x:c>
      <x:c r="T23" s="61" t="str">
        <x:f>IF(B23="","",IF(COUNTIFS(Pagos!$B$6:$B$305,B23,Pagos!$J$6:$J$305,"Pendiente",Pagos!$E$6:$E$305,"&lt;"&amp;TODAY())&gt;0,"Vencido",IF(Q23=0,"Sin pagos",IF(R23=0,"Pagado","Pago parcial"))))</x:f>
      </x:c>
      <x:c r="U23" s="87" t="str">
        <x:f>IF(B23="","",IF(AND(M23="Cotizado",J23&lt;&gt;""),"⚠ Quitá Precio contratado o cambiá Estado",IF(AND(OR(M23="Reservado",M23="Contratado",M23="Finalizado"),J23=""),"⚠ Falta Precio contratado","✓ OK")))</x:f>
      </x:c>
    </x:row>
    <x:row r="24">
      <x:c r="A24" s="61"/>
      <x:c r="B24" s="59"/>
      <x:c r="C24" s="24"/>
      <x:c r="D24" s="59"/>
      <x:c r="E24" s="59"/>
      <x:c r="F24" s="59"/>
      <x:c r="G24" s="59"/>
      <x:c r="H24" s="59"/>
      <x:c r="I24" s="63"/>
      <x:c r="J24" s="63"/>
      <x:c r="K24" s="24"/>
      <x:c r="L24" s="65"/>
      <x:c r="M24" s="24"/>
      <x:c r="N24" s="24"/>
      <x:c r="O24" s="59"/>
      <x:c r="P24" s="71"/>
      <x:c r="Q24" s="67" t="str">
        <x:f>IF(B24="","",SUMIFS(Pagos!$G$6:$G$305,Pagos!$B$6:$B$305,B24,Pagos!$J$6:$J$305,"Pagado"))</x:f>
      </x:c>
      <x:c r="R24" s="67" t="str">
        <x:f>IF(B24="","",MAX(0,IF(J24&lt;&gt;"",J24,IF(I24&lt;&gt;"",I24,0))-Q24))</x:f>
      </x:c>
      <x:c r="S24" s="69" t="str">
        <x:f>IF(B24="","",IFERROR(MINIFS(Pagos!$E$6:$E$305,Pagos!$B$6:$B$305,B24,Pagos!$J$6:$J$305,"Pendiente",Pagos!$E$6:$E$305,"&gt;="&amp;TODAY()),""))</x:f>
      </x:c>
      <x:c r="T24" s="61" t="str">
        <x:f>IF(B24="","",IF(COUNTIFS(Pagos!$B$6:$B$305,B24,Pagos!$J$6:$J$305,"Pendiente",Pagos!$E$6:$E$305,"&lt;"&amp;TODAY())&gt;0,"Vencido",IF(Q24=0,"Sin pagos",IF(R24=0,"Pagado","Pago parcial"))))</x:f>
      </x:c>
      <x:c r="U24" s="87" t="str">
        <x:f>IF(B24="","",IF(AND(M24="Cotizado",J24&lt;&gt;""),"⚠ Quitá Precio contratado o cambiá Estado",IF(AND(OR(M24="Reservado",M24="Contratado",M24="Finalizado"),J24=""),"⚠ Falta Precio contratado","✓ OK")))</x:f>
      </x:c>
    </x:row>
    <x:row r="25">
      <x:c r="A25" s="61"/>
      <x:c r="B25" s="59"/>
      <x:c r="C25" s="24"/>
      <x:c r="D25" s="59"/>
      <x:c r="E25" s="59"/>
      <x:c r="F25" s="59"/>
      <x:c r="G25" s="59"/>
      <x:c r="H25" s="59"/>
      <x:c r="I25" s="63"/>
      <x:c r="J25" s="63"/>
      <x:c r="K25" s="24"/>
      <x:c r="L25" s="65"/>
      <x:c r="M25" s="24"/>
      <x:c r="N25" s="24"/>
      <x:c r="O25" s="59"/>
      <x:c r="P25" s="71"/>
      <x:c r="Q25" s="67" t="str">
        <x:f>IF(B25="","",SUMIFS(Pagos!$G$6:$G$305,Pagos!$B$6:$B$305,B25,Pagos!$J$6:$J$305,"Pagado"))</x:f>
      </x:c>
      <x:c r="R25" s="67" t="str">
        <x:f>IF(B25="","",MAX(0,IF(J25&lt;&gt;"",J25,IF(I25&lt;&gt;"",I25,0))-Q25))</x:f>
      </x:c>
      <x:c r="S25" s="69" t="str">
        <x:f>IF(B25="","",IFERROR(MINIFS(Pagos!$E$6:$E$305,Pagos!$B$6:$B$305,B25,Pagos!$J$6:$J$305,"Pendiente",Pagos!$E$6:$E$305,"&gt;="&amp;TODAY()),""))</x:f>
      </x:c>
      <x:c r="T25" s="61" t="str">
        <x:f>IF(B25="","",IF(COUNTIFS(Pagos!$B$6:$B$305,B25,Pagos!$J$6:$J$305,"Pendiente",Pagos!$E$6:$E$305,"&lt;"&amp;TODAY())&gt;0,"Vencido",IF(Q25=0,"Sin pagos",IF(R25=0,"Pagado","Pago parcial"))))</x:f>
      </x:c>
      <x:c r="U25" s="87" t="str">
        <x:f>IF(B25="","",IF(AND(M25="Cotizado",J25&lt;&gt;""),"⚠ Quitá Precio contratado o cambiá Estado",IF(AND(OR(M25="Reservado",M25="Contratado",M25="Finalizado"),J25=""),"⚠ Falta Precio contratado","✓ OK")))</x:f>
      </x:c>
    </x:row>
    <x:row r="26">
      <x:c r="A26" s="61"/>
      <x:c r="B26" s="59"/>
      <x:c r="C26" s="24"/>
      <x:c r="D26" s="59"/>
      <x:c r="E26" s="59"/>
      <x:c r="F26" s="59"/>
      <x:c r="G26" s="59"/>
      <x:c r="H26" s="59"/>
      <x:c r="I26" s="63"/>
      <x:c r="J26" s="63"/>
      <x:c r="K26" s="24"/>
      <x:c r="L26" s="65"/>
      <x:c r="M26" s="24"/>
      <x:c r="N26" s="24"/>
      <x:c r="O26" s="59"/>
      <x:c r="P26" s="71"/>
      <x:c r="Q26" s="67" t="str">
        <x:f>IF(B26="","",SUMIFS(Pagos!$G$6:$G$305,Pagos!$B$6:$B$305,B26,Pagos!$J$6:$J$305,"Pagado"))</x:f>
      </x:c>
      <x:c r="R26" s="67" t="str">
        <x:f>IF(B26="","",MAX(0,IF(J26&lt;&gt;"",J26,IF(I26&lt;&gt;"",I26,0))-Q26))</x:f>
      </x:c>
      <x:c r="S26" s="69" t="str">
        <x:f>IF(B26="","",IFERROR(MINIFS(Pagos!$E$6:$E$305,Pagos!$B$6:$B$305,B26,Pagos!$J$6:$J$305,"Pendiente",Pagos!$E$6:$E$305,"&gt;="&amp;TODAY()),""))</x:f>
      </x:c>
      <x:c r="T26" s="61" t="str">
        <x:f>IF(B26="","",IF(COUNTIFS(Pagos!$B$6:$B$305,B26,Pagos!$J$6:$J$305,"Pendiente",Pagos!$E$6:$E$305,"&lt;"&amp;TODAY())&gt;0,"Vencido",IF(Q26=0,"Sin pagos",IF(R26=0,"Pagado","Pago parcial"))))</x:f>
      </x:c>
      <x:c r="U26" s="87" t="str">
        <x:f>IF(B26="","",IF(AND(M26="Cotizado",J26&lt;&gt;""),"⚠ Quitá Precio contratado o cambiá Estado",IF(AND(OR(M26="Reservado",M26="Contratado",M26="Finalizado"),J26=""),"⚠ Falta Precio contratado","✓ OK")))</x:f>
      </x:c>
    </x:row>
    <x:row r="27">
      <x:c r="A27" s="61"/>
      <x:c r="B27" s="59"/>
      <x:c r="C27" s="24"/>
      <x:c r="D27" s="59"/>
      <x:c r="E27" s="59"/>
      <x:c r="F27" s="59"/>
      <x:c r="G27" s="59"/>
      <x:c r="H27" s="59"/>
      <x:c r="I27" s="63"/>
      <x:c r="J27" s="63"/>
      <x:c r="K27" s="24"/>
      <x:c r="L27" s="65"/>
      <x:c r="M27" s="24"/>
      <x:c r="N27" s="24"/>
      <x:c r="O27" s="59"/>
      <x:c r="P27" s="71"/>
      <x:c r="Q27" s="67" t="str">
        <x:f>IF(B27="","",SUMIFS(Pagos!$G$6:$G$305,Pagos!$B$6:$B$305,B27,Pagos!$J$6:$J$305,"Pagado"))</x:f>
      </x:c>
      <x:c r="R27" s="67" t="str">
        <x:f>IF(B27="","",MAX(0,IF(J27&lt;&gt;"",J27,IF(I27&lt;&gt;"",I27,0))-Q27))</x:f>
      </x:c>
      <x:c r="S27" s="69" t="str">
        <x:f>IF(B27="","",IFERROR(MINIFS(Pagos!$E$6:$E$305,Pagos!$B$6:$B$305,B27,Pagos!$J$6:$J$305,"Pendiente",Pagos!$E$6:$E$305,"&gt;="&amp;TODAY()),""))</x:f>
      </x:c>
      <x:c r="T27" s="61" t="str">
        <x:f>IF(B27="","",IF(COUNTIFS(Pagos!$B$6:$B$305,B27,Pagos!$J$6:$J$305,"Pendiente",Pagos!$E$6:$E$305,"&lt;"&amp;TODAY())&gt;0,"Vencido",IF(Q27=0,"Sin pagos",IF(R27=0,"Pagado","Pago parcial"))))</x:f>
      </x:c>
      <x:c r="U27" s="87" t="str">
        <x:f>IF(B27="","",IF(AND(M27="Cotizado",J27&lt;&gt;""),"⚠ Quitá Precio contratado o cambiá Estado",IF(AND(OR(M27="Reservado",M27="Contratado",M27="Finalizado"),J27=""),"⚠ Falta Precio contratado","✓ OK")))</x:f>
      </x:c>
    </x:row>
    <x:row r="28">
      <x:c r="A28" s="61"/>
      <x:c r="B28" s="59"/>
      <x:c r="C28" s="24"/>
      <x:c r="D28" s="59"/>
      <x:c r="E28" s="59"/>
      <x:c r="F28" s="59"/>
      <x:c r="G28" s="59"/>
      <x:c r="H28" s="59"/>
      <x:c r="I28" s="63"/>
      <x:c r="J28" s="63"/>
      <x:c r="K28" s="24"/>
      <x:c r="L28" s="65"/>
      <x:c r="M28" s="24"/>
      <x:c r="N28" s="24"/>
      <x:c r="O28" s="59"/>
      <x:c r="P28" s="71"/>
      <x:c r="Q28" s="67" t="str">
        <x:f>IF(B28="","",SUMIFS(Pagos!$G$6:$G$305,Pagos!$B$6:$B$305,B28,Pagos!$J$6:$J$305,"Pagado"))</x:f>
      </x:c>
      <x:c r="R28" s="67" t="str">
        <x:f>IF(B28="","",MAX(0,IF(J28&lt;&gt;"",J28,IF(I28&lt;&gt;"",I28,0))-Q28))</x:f>
      </x:c>
      <x:c r="S28" s="69" t="str">
        <x:f>IF(B28="","",IFERROR(MINIFS(Pagos!$E$6:$E$305,Pagos!$B$6:$B$305,B28,Pagos!$J$6:$J$305,"Pendiente",Pagos!$E$6:$E$305,"&gt;="&amp;TODAY()),""))</x:f>
      </x:c>
      <x:c r="T28" s="61" t="str">
        <x:f>IF(B28="","",IF(COUNTIFS(Pagos!$B$6:$B$305,B28,Pagos!$J$6:$J$305,"Pendiente",Pagos!$E$6:$E$305,"&lt;"&amp;TODAY())&gt;0,"Vencido",IF(Q28=0,"Sin pagos",IF(R28=0,"Pagado","Pago parcial"))))</x:f>
      </x:c>
      <x:c r="U28" s="87" t="str">
        <x:f>IF(B28="","",IF(AND(M28="Cotizado",J28&lt;&gt;""),"⚠ Quitá Precio contratado o cambiá Estado",IF(AND(OR(M28="Reservado",M28="Contratado",M28="Finalizado"),J28=""),"⚠ Falta Precio contratado","✓ OK")))</x:f>
      </x:c>
    </x:row>
    <x:row r="29">
      <x:c r="A29" s="61"/>
      <x:c r="B29" s="59"/>
      <x:c r="C29" s="24"/>
      <x:c r="D29" s="59"/>
      <x:c r="E29" s="59"/>
      <x:c r="F29" s="59"/>
      <x:c r="G29" s="59"/>
      <x:c r="H29" s="59"/>
      <x:c r="I29" s="63"/>
      <x:c r="J29" s="63"/>
      <x:c r="K29" s="24"/>
      <x:c r="L29" s="65"/>
      <x:c r="M29" s="24"/>
      <x:c r="N29" s="24"/>
      <x:c r="O29" s="59"/>
      <x:c r="P29" s="71"/>
      <x:c r="Q29" s="67" t="str">
        <x:f>IF(B29="","",SUMIFS(Pagos!$G$6:$G$305,Pagos!$B$6:$B$305,B29,Pagos!$J$6:$J$305,"Pagado"))</x:f>
      </x:c>
      <x:c r="R29" s="67" t="str">
        <x:f>IF(B29="","",MAX(0,IF(J29&lt;&gt;"",J29,IF(I29&lt;&gt;"",I29,0))-Q29))</x:f>
      </x:c>
      <x:c r="S29" s="69" t="str">
        <x:f>IF(B29="","",IFERROR(MINIFS(Pagos!$E$6:$E$305,Pagos!$B$6:$B$305,B29,Pagos!$J$6:$J$305,"Pendiente",Pagos!$E$6:$E$305,"&gt;="&amp;TODAY()),""))</x:f>
      </x:c>
      <x:c r="T29" s="61" t="str">
        <x:f>IF(B29="","",IF(COUNTIFS(Pagos!$B$6:$B$305,B29,Pagos!$J$6:$J$305,"Pendiente",Pagos!$E$6:$E$305,"&lt;"&amp;TODAY())&gt;0,"Vencido",IF(Q29=0,"Sin pagos",IF(R29=0,"Pagado","Pago parcial"))))</x:f>
      </x:c>
      <x:c r="U29" s="87" t="str">
        <x:f>IF(B29="","",IF(AND(M29="Cotizado",J29&lt;&gt;""),"⚠ Quitá Precio contratado o cambiá Estado",IF(AND(OR(M29="Reservado",M29="Contratado",M29="Finalizado"),J29=""),"⚠ Falta Precio contratado","✓ OK")))</x:f>
      </x:c>
    </x:row>
    <x:row r="30">
      <x:c r="A30" s="61"/>
      <x:c r="B30" s="59"/>
      <x:c r="C30" s="24"/>
      <x:c r="D30" s="59"/>
      <x:c r="E30" s="59"/>
      <x:c r="F30" s="59"/>
      <x:c r="G30" s="59"/>
      <x:c r="H30" s="59"/>
      <x:c r="I30" s="63"/>
      <x:c r="J30" s="63"/>
      <x:c r="K30" s="24"/>
      <x:c r="L30" s="65"/>
      <x:c r="M30" s="24"/>
      <x:c r="N30" s="24"/>
      <x:c r="O30" s="59"/>
      <x:c r="P30" s="71"/>
      <x:c r="Q30" s="67" t="str">
        <x:f>IF(B30="","",SUMIFS(Pagos!$G$6:$G$305,Pagos!$B$6:$B$305,B30,Pagos!$J$6:$J$305,"Pagado"))</x:f>
      </x:c>
      <x:c r="R30" s="67" t="str">
        <x:f>IF(B30="","",MAX(0,IF(J30&lt;&gt;"",J30,IF(I30&lt;&gt;"",I30,0))-Q30))</x:f>
      </x:c>
      <x:c r="S30" s="69" t="str">
        <x:f>IF(B30="","",IFERROR(MINIFS(Pagos!$E$6:$E$305,Pagos!$B$6:$B$305,B30,Pagos!$J$6:$J$305,"Pendiente",Pagos!$E$6:$E$305,"&gt;="&amp;TODAY()),""))</x:f>
      </x:c>
      <x:c r="T30" s="61" t="str">
        <x:f>IF(B30="","",IF(COUNTIFS(Pagos!$B$6:$B$305,B30,Pagos!$J$6:$J$305,"Pendiente",Pagos!$E$6:$E$305,"&lt;"&amp;TODAY())&gt;0,"Vencido",IF(Q30=0,"Sin pagos",IF(R30=0,"Pagado","Pago parcial"))))</x:f>
      </x:c>
      <x:c r="U30" s="87" t="str">
        <x:f>IF(B30="","",IF(AND(M30="Cotizado",J30&lt;&gt;""),"⚠ Quitá Precio contratado o cambiá Estado",IF(AND(OR(M30="Reservado",M30="Contratado",M30="Finalizado"),J30=""),"⚠ Falta Precio contratado","✓ OK")))</x:f>
      </x:c>
    </x:row>
    <x:row r="31">
      <x:c r="A31" s="61"/>
      <x:c r="B31" s="59"/>
      <x:c r="C31" s="24"/>
      <x:c r="D31" s="59"/>
      <x:c r="E31" s="59"/>
      <x:c r="F31" s="59"/>
      <x:c r="G31" s="59"/>
      <x:c r="H31" s="59"/>
      <x:c r="I31" s="63"/>
      <x:c r="J31" s="63"/>
      <x:c r="K31" s="24"/>
      <x:c r="L31" s="65"/>
      <x:c r="M31" s="24"/>
      <x:c r="N31" s="24"/>
      <x:c r="O31" s="59"/>
      <x:c r="P31" s="71"/>
      <x:c r="Q31" s="67" t="str">
        <x:f>IF(B31="","",SUMIFS(Pagos!$G$6:$G$305,Pagos!$B$6:$B$305,B31,Pagos!$J$6:$J$305,"Pagado"))</x:f>
      </x:c>
      <x:c r="R31" s="67" t="str">
        <x:f>IF(B31="","",MAX(0,IF(J31&lt;&gt;"",J31,IF(I31&lt;&gt;"",I31,0))-Q31))</x:f>
      </x:c>
      <x:c r="S31" s="69" t="str">
        <x:f>IF(B31="","",IFERROR(MINIFS(Pagos!$E$6:$E$305,Pagos!$B$6:$B$305,B31,Pagos!$J$6:$J$305,"Pendiente",Pagos!$E$6:$E$305,"&gt;="&amp;TODAY()),""))</x:f>
      </x:c>
      <x:c r="T31" s="61" t="str">
        <x:f>IF(B31="","",IF(COUNTIFS(Pagos!$B$6:$B$305,B31,Pagos!$J$6:$J$305,"Pendiente",Pagos!$E$6:$E$305,"&lt;"&amp;TODAY())&gt;0,"Vencido",IF(Q31=0,"Sin pagos",IF(R31=0,"Pagado","Pago parcial"))))</x:f>
      </x:c>
      <x:c r="U31" s="87" t="str">
        <x:f>IF(B31="","",IF(AND(M31="Cotizado",J31&lt;&gt;""),"⚠ Quitá Precio contratado o cambiá Estado",IF(AND(OR(M31="Reservado",M31="Contratado",M31="Finalizado"),J31=""),"⚠ Falta Precio contratado","✓ OK")))</x:f>
      </x:c>
    </x:row>
    <x:row r="32">
      <x:c r="A32" s="61"/>
      <x:c r="B32" s="59"/>
      <x:c r="C32" s="24"/>
      <x:c r="D32" s="59"/>
      <x:c r="E32" s="59"/>
      <x:c r="F32" s="59"/>
      <x:c r="G32" s="59"/>
      <x:c r="H32" s="59"/>
      <x:c r="I32" s="63"/>
      <x:c r="J32" s="63"/>
      <x:c r="K32" s="24"/>
      <x:c r="L32" s="65"/>
      <x:c r="M32" s="24"/>
      <x:c r="N32" s="24"/>
      <x:c r="O32" s="59"/>
      <x:c r="P32" s="71"/>
      <x:c r="Q32" s="67" t="str">
        <x:f>IF(B32="","",SUMIFS(Pagos!$G$6:$G$305,Pagos!$B$6:$B$305,B32,Pagos!$J$6:$J$305,"Pagado"))</x:f>
      </x:c>
      <x:c r="R32" s="67" t="str">
        <x:f>IF(B32="","",MAX(0,IF(J32&lt;&gt;"",J32,IF(I32&lt;&gt;"",I32,0))-Q32))</x:f>
      </x:c>
      <x:c r="S32" s="69" t="str">
        <x:f>IF(B32="","",IFERROR(MINIFS(Pagos!$E$6:$E$305,Pagos!$B$6:$B$305,B32,Pagos!$J$6:$J$305,"Pendiente",Pagos!$E$6:$E$305,"&gt;="&amp;TODAY()),""))</x:f>
      </x:c>
      <x:c r="T32" s="61" t="str">
        <x:f>IF(B32="","",IF(COUNTIFS(Pagos!$B$6:$B$305,B32,Pagos!$J$6:$J$305,"Pendiente",Pagos!$E$6:$E$305,"&lt;"&amp;TODAY())&gt;0,"Vencido",IF(Q32=0,"Sin pagos",IF(R32=0,"Pagado","Pago parcial"))))</x:f>
      </x:c>
      <x:c r="U32" s="87" t="str">
        <x:f>IF(B32="","",IF(AND(M32="Cotizado",J32&lt;&gt;""),"⚠ Quitá Precio contratado o cambiá Estado",IF(AND(OR(M32="Reservado",M32="Contratado",M32="Finalizado"),J32=""),"⚠ Falta Precio contratado","✓ OK")))</x:f>
      </x:c>
    </x:row>
    <x:row r="33">
      <x:c r="A33" s="61"/>
      <x:c r="B33" s="59"/>
      <x:c r="C33" s="24"/>
      <x:c r="D33" s="59"/>
      <x:c r="E33" s="59"/>
      <x:c r="F33" s="59"/>
      <x:c r="G33" s="59"/>
      <x:c r="H33" s="59"/>
      <x:c r="I33" s="63"/>
      <x:c r="J33" s="63"/>
      <x:c r="K33" s="24"/>
      <x:c r="L33" s="65"/>
      <x:c r="M33" s="24"/>
      <x:c r="N33" s="24"/>
      <x:c r="O33" s="59"/>
      <x:c r="P33" s="71"/>
      <x:c r="Q33" s="67" t="str">
        <x:f>IF(B33="","",SUMIFS(Pagos!$G$6:$G$305,Pagos!$B$6:$B$305,B33,Pagos!$J$6:$J$305,"Pagado"))</x:f>
      </x:c>
      <x:c r="R33" s="67" t="str">
        <x:f>IF(B33="","",MAX(0,IF(J33&lt;&gt;"",J33,IF(I33&lt;&gt;"",I33,0))-Q33))</x:f>
      </x:c>
      <x:c r="S33" s="69" t="str">
        <x:f>IF(B33="","",IFERROR(MINIFS(Pagos!$E$6:$E$305,Pagos!$B$6:$B$305,B33,Pagos!$J$6:$J$305,"Pendiente",Pagos!$E$6:$E$305,"&gt;="&amp;TODAY()),""))</x:f>
      </x:c>
      <x:c r="T33" s="61" t="str">
        <x:f>IF(B33="","",IF(COUNTIFS(Pagos!$B$6:$B$305,B33,Pagos!$J$6:$J$305,"Pendiente",Pagos!$E$6:$E$305,"&lt;"&amp;TODAY())&gt;0,"Vencido",IF(Q33=0,"Sin pagos",IF(R33=0,"Pagado","Pago parcial"))))</x:f>
      </x:c>
      <x:c r="U33" s="87" t="str">
        <x:f>IF(B33="","",IF(AND(M33="Cotizado",J33&lt;&gt;""),"⚠ Quitá Precio contratado o cambiá Estado",IF(AND(OR(M33="Reservado",M33="Contratado",M33="Finalizado"),J33=""),"⚠ Falta Precio contratado","✓ OK")))</x:f>
      </x:c>
    </x:row>
    <x:row r="34">
      <x:c r="A34" s="61"/>
      <x:c r="B34" s="59"/>
      <x:c r="C34" s="24"/>
      <x:c r="D34" s="59"/>
      <x:c r="E34" s="59"/>
      <x:c r="F34" s="59"/>
      <x:c r="G34" s="59"/>
      <x:c r="H34" s="59"/>
      <x:c r="I34" s="63"/>
      <x:c r="J34" s="63"/>
      <x:c r="K34" s="24"/>
      <x:c r="L34" s="65"/>
      <x:c r="M34" s="24"/>
      <x:c r="N34" s="24"/>
      <x:c r="O34" s="59"/>
      <x:c r="P34" s="71"/>
      <x:c r="Q34" s="67" t="str">
        <x:f>IF(B34="","",SUMIFS(Pagos!$G$6:$G$305,Pagos!$B$6:$B$305,B34,Pagos!$J$6:$J$305,"Pagado"))</x:f>
      </x:c>
      <x:c r="R34" s="67" t="str">
        <x:f>IF(B34="","",MAX(0,IF(J34&lt;&gt;"",J34,IF(I34&lt;&gt;"",I34,0))-Q34))</x:f>
      </x:c>
      <x:c r="S34" s="69" t="str">
        <x:f>IF(B34="","",IFERROR(MINIFS(Pagos!$E$6:$E$305,Pagos!$B$6:$B$305,B34,Pagos!$J$6:$J$305,"Pendiente",Pagos!$E$6:$E$305,"&gt;="&amp;TODAY()),""))</x:f>
      </x:c>
      <x:c r="T34" s="61" t="str">
        <x:f>IF(B34="","",IF(COUNTIFS(Pagos!$B$6:$B$305,B34,Pagos!$J$6:$J$305,"Pendiente",Pagos!$E$6:$E$305,"&lt;"&amp;TODAY())&gt;0,"Vencido",IF(Q34=0,"Sin pagos",IF(R34=0,"Pagado","Pago parcial"))))</x:f>
      </x:c>
      <x:c r="U34" s="87" t="str">
        <x:f>IF(B34="","",IF(AND(M34="Cotizado",J34&lt;&gt;""),"⚠ Quitá Precio contratado o cambiá Estado",IF(AND(OR(M34="Reservado",M34="Contratado",M34="Finalizado"),J34=""),"⚠ Falta Precio contratado","✓ OK")))</x:f>
      </x:c>
    </x:row>
    <x:row r="35">
      <x:c r="A35" s="61"/>
      <x:c r="B35" s="59"/>
      <x:c r="C35" s="24"/>
      <x:c r="D35" s="59"/>
      <x:c r="E35" s="59"/>
      <x:c r="F35" s="59"/>
      <x:c r="G35" s="59"/>
      <x:c r="H35" s="59"/>
      <x:c r="I35" s="63"/>
      <x:c r="J35" s="63"/>
      <x:c r="K35" s="24"/>
      <x:c r="L35" s="65"/>
      <x:c r="M35" s="24"/>
      <x:c r="N35" s="24"/>
      <x:c r="O35" s="59"/>
      <x:c r="P35" s="71"/>
      <x:c r="Q35" s="67" t="str">
        <x:f>IF(B35="","",SUMIFS(Pagos!$G$6:$G$305,Pagos!$B$6:$B$305,B35,Pagos!$J$6:$J$305,"Pagado"))</x:f>
      </x:c>
      <x:c r="R35" s="67" t="str">
        <x:f>IF(B35="","",MAX(0,IF(J35&lt;&gt;"",J35,IF(I35&lt;&gt;"",I35,0))-Q35))</x:f>
      </x:c>
      <x:c r="S35" s="69" t="str">
        <x:f>IF(B35="","",IFERROR(MINIFS(Pagos!$E$6:$E$305,Pagos!$B$6:$B$305,B35,Pagos!$J$6:$J$305,"Pendiente",Pagos!$E$6:$E$305,"&gt;="&amp;TODAY()),""))</x:f>
      </x:c>
      <x:c r="T35" s="61" t="str">
        <x:f>IF(B35="","",IF(COUNTIFS(Pagos!$B$6:$B$305,B35,Pagos!$J$6:$J$305,"Pendiente",Pagos!$E$6:$E$305,"&lt;"&amp;TODAY())&gt;0,"Vencido",IF(Q35=0,"Sin pagos",IF(R35=0,"Pagado","Pago parcial"))))</x:f>
      </x:c>
      <x:c r="U35" s="87" t="str">
        <x:f>IF(B35="","",IF(AND(M35="Cotizado",J35&lt;&gt;""),"⚠ Quitá Precio contratado o cambiá Estado",IF(AND(OR(M35="Reservado",M35="Contratado",M35="Finalizado"),J35=""),"⚠ Falta Precio contratado","✓ OK")))</x:f>
      </x:c>
    </x:row>
    <x:row r="36">
      <x:c r="A36" s="61"/>
      <x:c r="B36" s="59"/>
      <x:c r="C36" s="24"/>
      <x:c r="D36" s="59"/>
      <x:c r="E36" s="59"/>
      <x:c r="F36" s="59"/>
      <x:c r="G36" s="59"/>
      <x:c r="H36" s="59"/>
      <x:c r="I36" s="63"/>
      <x:c r="J36" s="63"/>
      <x:c r="K36" s="24"/>
      <x:c r="L36" s="65"/>
      <x:c r="M36" s="24"/>
      <x:c r="N36" s="24"/>
      <x:c r="O36" s="59"/>
      <x:c r="P36" s="71"/>
      <x:c r="Q36" s="67" t="str">
        <x:f>IF(B36="","",SUMIFS(Pagos!$G$6:$G$305,Pagos!$B$6:$B$305,B36,Pagos!$J$6:$J$305,"Pagado"))</x:f>
      </x:c>
      <x:c r="R36" s="67" t="str">
        <x:f>IF(B36="","",MAX(0,IF(J36&lt;&gt;"",J36,IF(I36&lt;&gt;"",I36,0))-Q36))</x:f>
      </x:c>
      <x:c r="S36" s="69" t="str">
        <x:f>IF(B36="","",IFERROR(MINIFS(Pagos!$E$6:$E$305,Pagos!$B$6:$B$305,B36,Pagos!$J$6:$J$305,"Pendiente",Pagos!$E$6:$E$305,"&gt;="&amp;TODAY()),""))</x:f>
      </x:c>
      <x:c r="T36" s="61" t="str">
        <x:f>IF(B36="","",IF(COUNTIFS(Pagos!$B$6:$B$305,B36,Pagos!$J$6:$J$305,"Pendiente",Pagos!$E$6:$E$305,"&lt;"&amp;TODAY())&gt;0,"Vencido",IF(Q36=0,"Sin pagos",IF(R36=0,"Pagado","Pago parcial"))))</x:f>
      </x:c>
      <x:c r="U36" s="87" t="str">
        <x:f>IF(B36="","",IF(AND(M36="Cotizado",J36&lt;&gt;""),"⚠ Quitá Precio contratado o cambiá Estado",IF(AND(OR(M36="Reservado",M36="Contratado",M36="Finalizado"),J36=""),"⚠ Falta Precio contratado","✓ OK")))</x:f>
      </x:c>
    </x:row>
    <x:row r="37">
      <x:c r="A37" s="61"/>
      <x:c r="B37" s="59"/>
      <x:c r="C37" s="24"/>
      <x:c r="D37" s="59"/>
      <x:c r="E37" s="59"/>
      <x:c r="F37" s="59"/>
      <x:c r="G37" s="59"/>
      <x:c r="H37" s="59"/>
      <x:c r="I37" s="63"/>
      <x:c r="J37" s="63"/>
      <x:c r="K37" s="24"/>
      <x:c r="L37" s="65"/>
      <x:c r="M37" s="24"/>
      <x:c r="N37" s="24"/>
      <x:c r="O37" s="59"/>
      <x:c r="P37" s="71"/>
      <x:c r="Q37" s="67" t="str">
        <x:f>IF(B37="","",SUMIFS(Pagos!$G$6:$G$305,Pagos!$B$6:$B$305,B37,Pagos!$J$6:$J$305,"Pagado"))</x:f>
      </x:c>
      <x:c r="R37" s="67" t="str">
        <x:f>IF(B37="","",MAX(0,IF(J37&lt;&gt;"",J37,IF(I37&lt;&gt;"",I37,0))-Q37))</x:f>
      </x:c>
      <x:c r="S37" s="69" t="str">
        <x:f>IF(B37="","",IFERROR(MINIFS(Pagos!$E$6:$E$305,Pagos!$B$6:$B$305,B37,Pagos!$J$6:$J$305,"Pendiente",Pagos!$E$6:$E$305,"&gt;="&amp;TODAY()),""))</x:f>
      </x:c>
      <x:c r="T37" s="61" t="str">
        <x:f>IF(B37="","",IF(COUNTIFS(Pagos!$B$6:$B$305,B37,Pagos!$J$6:$J$305,"Pendiente",Pagos!$E$6:$E$305,"&lt;"&amp;TODAY())&gt;0,"Vencido",IF(Q37=0,"Sin pagos",IF(R37=0,"Pagado","Pago parcial"))))</x:f>
      </x:c>
      <x:c r="U37" s="87" t="str">
        <x:f>IF(B37="","",IF(AND(M37="Cotizado",J37&lt;&gt;""),"⚠ Quitá Precio contratado o cambiá Estado",IF(AND(OR(M37="Reservado",M37="Contratado",M37="Finalizado"),J37=""),"⚠ Falta Precio contratado","✓ OK")))</x:f>
      </x:c>
    </x:row>
    <x:row r="38">
      <x:c r="A38" s="61"/>
      <x:c r="B38" s="59"/>
      <x:c r="C38" s="24"/>
      <x:c r="D38" s="59"/>
      <x:c r="E38" s="59"/>
      <x:c r="F38" s="59"/>
      <x:c r="G38" s="59"/>
      <x:c r="H38" s="59"/>
      <x:c r="I38" s="63"/>
      <x:c r="J38" s="63"/>
      <x:c r="K38" s="24"/>
      <x:c r="L38" s="65"/>
      <x:c r="M38" s="24"/>
      <x:c r="N38" s="24"/>
      <x:c r="O38" s="59"/>
      <x:c r="P38" s="71"/>
      <x:c r="Q38" s="67" t="str">
        <x:f>IF(B38="","",SUMIFS(Pagos!$G$6:$G$305,Pagos!$B$6:$B$305,B38,Pagos!$J$6:$J$305,"Pagado"))</x:f>
      </x:c>
      <x:c r="R38" s="67" t="str">
        <x:f>IF(B38="","",MAX(0,IF(J38&lt;&gt;"",J38,IF(I38&lt;&gt;"",I38,0))-Q38))</x:f>
      </x:c>
      <x:c r="S38" s="69" t="str">
        <x:f>IF(B38="","",IFERROR(MINIFS(Pagos!$E$6:$E$305,Pagos!$B$6:$B$305,B38,Pagos!$J$6:$J$305,"Pendiente",Pagos!$E$6:$E$305,"&gt;="&amp;TODAY()),""))</x:f>
      </x:c>
      <x:c r="T38" s="61" t="str">
        <x:f>IF(B38="","",IF(COUNTIFS(Pagos!$B$6:$B$305,B38,Pagos!$J$6:$J$305,"Pendiente",Pagos!$E$6:$E$305,"&lt;"&amp;TODAY())&gt;0,"Vencido",IF(Q38=0,"Sin pagos",IF(R38=0,"Pagado","Pago parcial"))))</x:f>
      </x:c>
      <x:c r="U38" s="87" t="str">
        <x:f>IF(B38="","",IF(AND(M38="Cotizado",J38&lt;&gt;""),"⚠ Quitá Precio contratado o cambiá Estado",IF(AND(OR(M38="Reservado",M38="Contratado",M38="Finalizado"),J38=""),"⚠ Falta Precio contratado","✓ OK")))</x:f>
      </x:c>
    </x:row>
    <x:row r="39">
      <x:c r="A39" s="61"/>
      <x:c r="B39" s="59"/>
      <x:c r="C39" s="24"/>
      <x:c r="D39" s="59"/>
      <x:c r="E39" s="59"/>
      <x:c r="F39" s="59"/>
      <x:c r="G39" s="59"/>
      <x:c r="H39" s="59"/>
      <x:c r="I39" s="63"/>
      <x:c r="J39" s="63"/>
      <x:c r="K39" s="24"/>
      <x:c r="L39" s="65"/>
      <x:c r="M39" s="24"/>
      <x:c r="N39" s="24"/>
      <x:c r="O39" s="59"/>
      <x:c r="P39" s="71"/>
      <x:c r="Q39" s="67" t="str">
        <x:f>IF(B39="","",SUMIFS(Pagos!$G$6:$G$305,Pagos!$B$6:$B$305,B39,Pagos!$J$6:$J$305,"Pagado"))</x:f>
      </x:c>
      <x:c r="R39" s="67" t="str">
        <x:f>IF(B39="","",MAX(0,IF(J39&lt;&gt;"",J39,IF(I39&lt;&gt;"",I39,0))-Q39))</x:f>
      </x:c>
      <x:c r="S39" s="69" t="str">
        <x:f>IF(B39="","",IFERROR(MINIFS(Pagos!$E$6:$E$305,Pagos!$B$6:$B$305,B39,Pagos!$J$6:$J$305,"Pendiente",Pagos!$E$6:$E$305,"&gt;="&amp;TODAY()),""))</x:f>
      </x:c>
      <x:c r="T39" s="61" t="str">
        <x:f>IF(B39="","",IF(COUNTIFS(Pagos!$B$6:$B$305,B39,Pagos!$J$6:$J$305,"Pendiente",Pagos!$E$6:$E$305,"&lt;"&amp;TODAY())&gt;0,"Vencido",IF(Q39=0,"Sin pagos",IF(R39=0,"Pagado","Pago parcial"))))</x:f>
      </x:c>
      <x:c r="U39" s="87" t="str">
        <x:f>IF(B39="","",IF(AND(M39="Cotizado",J39&lt;&gt;""),"⚠ Quitá Precio contratado o cambiá Estado",IF(AND(OR(M39="Reservado",M39="Contratado",M39="Finalizado"),J39=""),"⚠ Falta Precio contratado","✓ OK")))</x:f>
      </x:c>
    </x:row>
    <x:row r="40">
      <x:c r="A40" s="61"/>
      <x:c r="B40" s="59"/>
      <x:c r="C40" s="24"/>
      <x:c r="D40" s="59"/>
      <x:c r="E40" s="59"/>
      <x:c r="F40" s="59"/>
      <x:c r="G40" s="59"/>
      <x:c r="H40" s="59"/>
      <x:c r="I40" s="63"/>
      <x:c r="J40" s="63"/>
      <x:c r="K40" s="24"/>
      <x:c r="L40" s="65"/>
      <x:c r="M40" s="24"/>
      <x:c r="N40" s="24"/>
      <x:c r="O40" s="59"/>
      <x:c r="P40" s="71"/>
      <x:c r="Q40" s="67" t="str">
        <x:f>IF(B40="","",SUMIFS(Pagos!$G$6:$G$305,Pagos!$B$6:$B$305,B40,Pagos!$J$6:$J$305,"Pagado"))</x:f>
      </x:c>
      <x:c r="R40" s="67" t="str">
        <x:f>IF(B40="","",MAX(0,IF(J40&lt;&gt;"",J40,IF(I40&lt;&gt;"",I40,0))-Q40))</x:f>
      </x:c>
      <x:c r="S40" s="69" t="str">
        <x:f>IF(B40="","",IFERROR(MINIFS(Pagos!$E$6:$E$305,Pagos!$B$6:$B$305,B40,Pagos!$J$6:$J$305,"Pendiente",Pagos!$E$6:$E$305,"&gt;="&amp;TODAY()),""))</x:f>
      </x:c>
      <x:c r="T40" s="61" t="str">
        <x:f>IF(B40="","",IF(COUNTIFS(Pagos!$B$6:$B$305,B40,Pagos!$J$6:$J$305,"Pendiente",Pagos!$E$6:$E$305,"&lt;"&amp;TODAY())&gt;0,"Vencido",IF(Q40=0,"Sin pagos",IF(R40=0,"Pagado","Pago parcial"))))</x:f>
      </x:c>
      <x:c r="U40" s="87" t="str">
        <x:f>IF(B40="","",IF(AND(M40="Cotizado",J40&lt;&gt;""),"⚠ Quitá Precio contratado o cambiá Estado",IF(AND(OR(M40="Reservado",M40="Contratado",M40="Finalizado"),J40=""),"⚠ Falta Precio contratado","✓ OK")))</x:f>
      </x:c>
    </x:row>
    <x:row r="41">
      <x:c r="A41" s="61"/>
      <x:c r="B41" s="59"/>
      <x:c r="C41" s="24"/>
      <x:c r="D41" s="59"/>
      <x:c r="E41" s="59"/>
      <x:c r="F41" s="59"/>
      <x:c r="G41" s="59"/>
      <x:c r="H41" s="59"/>
      <x:c r="I41" s="63"/>
      <x:c r="J41" s="63"/>
      <x:c r="K41" s="24"/>
      <x:c r="L41" s="65"/>
      <x:c r="M41" s="24"/>
      <x:c r="N41" s="24"/>
      <x:c r="O41" s="59"/>
      <x:c r="P41" s="71"/>
      <x:c r="Q41" s="67" t="str">
        <x:f>IF(B41="","",SUMIFS(Pagos!$G$6:$G$305,Pagos!$B$6:$B$305,B41,Pagos!$J$6:$J$305,"Pagado"))</x:f>
      </x:c>
      <x:c r="R41" s="67" t="str">
        <x:f>IF(B41="","",MAX(0,IF(J41&lt;&gt;"",J41,IF(I41&lt;&gt;"",I41,0))-Q41))</x:f>
      </x:c>
      <x:c r="S41" s="69" t="str">
        <x:f>IF(B41="","",IFERROR(MINIFS(Pagos!$E$6:$E$305,Pagos!$B$6:$B$305,B41,Pagos!$J$6:$J$305,"Pendiente",Pagos!$E$6:$E$305,"&gt;="&amp;TODAY()),""))</x:f>
      </x:c>
      <x:c r="T41" s="61" t="str">
        <x:f>IF(B41="","",IF(COUNTIFS(Pagos!$B$6:$B$305,B41,Pagos!$J$6:$J$305,"Pendiente",Pagos!$E$6:$E$305,"&lt;"&amp;TODAY())&gt;0,"Vencido",IF(Q41=0,"Sin pagos",IF(R41=0,"Pagado","Pago parcial"))))</x:f>
      </x:c>
      <x:c r="U41" s="87" t="str">
        <x:f>IF(B41="","",IF(AND(M41="Cotizado",J41&lt;&gt;""),"⚠ Quitá Precio contratado o cambiá Estado",IF(AND(OR(M41="Reservado",M41="Contratado",M41="Finalizado"),J41=""),"⚠ Falta Precio contratado","✓ OK")))</x:f>
      </x:c>
    </x:row>
    <x:row r="42">
      <x:c r="A42" s="61"/>
      <x:c r="B42" s="59"/>
      <x:c r="C42" s="24"/>
      <x:c r="D42" s="59"/>
      <x:c r="E42" s="59"/>
      <x:c r="F42" s="59"/>
      <x:c r="G42" s="59"/>
      <x:c r="H42" s="59"/>
      <x:c r="I42" s="63"/>
      <x:c r="J42" s="63"/>
      <x:c r="K42" s="24"/>
      <x:c r="L42" s="65"/>
      <x:c r="M42" s="24"/>
      <x:c r="N42" s="24"/>
      <x:c r="O42" s="59"/>
      <x:c r="P42" s="71"/>
      <x:c r="Q42" s="67" t="str">
        <x:f>IF(B42="","",SUMIFS(Pagos!$G$6:$G$305,Pagos!$B$6:$B$305,B42,Pagos!$J$6:$J$305,"Pagado"))</x:f>
      </x:c>
      <x:c r="R42" s="67" t="str">
        <x:f>IF(B42="","",MAX(0,IF(J42&lt;&gt;"",J42,IF(I42&lt;&gt;"",I42,0))-Q42))</x:f>
      </x:c>
      <x:c r="S42" s="69" t="str">
        <x:f>IF(B42="","",IFERROR(MINIFS(Pagos!$E$6:$E$305,Pagos!$B$6:$B$305,B42,Pagos!$J$6:$J$305,"Pendiente",Pagos!$E$6:$E$305,"&gt;="&amp;TODAY()),""))</x:f>
      </x:c>
      <x:c r="T42" s="61" t="str">
        <x:f>IF(B42="","",IF(COUNTIFS(Pagos!$B$6:$B$305,B42,Pagos!$J$6:$J$305,"Pendiente",Pagos!$E$6:$E$305,"&lt;"&amp;TODAY())&gt;0,"Vencido",IF(Q42=0,"Sin pagos",IF(R42=0,"Pagado","Pago parcial"))))</x:f>
      </x:c>
      <x:c r="U42" s="87" t="str">
        <x:f>IF(B42="","",IF(AND(M42="Cotizado",J42&lt;&gt;""),"⚠ Quitá Precio contratado o cambiá Estado",IF(AND(OR(M42="Reservado",M42="Contratado",M42="Finalizado"),J42=""),"⚠ Falta Precio contratado","✓ OK")))</x:f>
      </x:c>
    </x:row>
    <x:row r="43">
      <x:c r="A43" s="61"/>
      <x:c r="B43" s="59"/>
      <x:c r="C43" s="24"/>
      <x:c r="D43" s="59"/>
      <x:c r="E43" s="59"/>
      <x:c r="F43" s="59"/>
      <x:c r="G43" s="59"/>
      <x:c r="H43" s="59"/>
      <x:c r="I43" s="63"/>
      <x:c r="J43" s="63"/>
      <x:c r="K43" s="24"/>
      <x:c r="L43" s="65"/>
      <x:c r="M43" s="24"/>
      <x:c r="N43" s="24"/>
      <x:c r="O43" s="59"/>
      <x:c r="P43" s="71"/>
      <x:c r="Q43" s="67" t="str">
        <x:f>IF(B43="","",SUMIFS(Pagos!$G$6:$G$305,Pagos!$B$6:$B$305,B43,Pagos!$J$6:$J$305,"Pagado"))</x:f>
      </x:c>
      <x:c r="R43" s="67" t="str">
        <x:f>IF(B43="","",MAX(0,IF(J43&lt;&gt;"",J43,IF(I43&lt;&gt;"",I43,0))-Q43))</x:f>
      </x:c>
      <x:c r="S43" s="69" t="str">
        <x:f>IF(B43="","",IFERROR(MINIFS(Pagos!$E$6:$E$305,Pagos!$B$6:$B$305,B43,Pagos!$J$6:$J$305,"Pendiente",Pagos!$E$6:$E$305,"&gt;="&amp;TODAY()),""))</x:f>
      </x:c>
      <x:c r="T43" s="61" t="str">
        <x:f>IF(B43="","",IF(COUNTIFS(Pagos!$B$6:$B$305,B43,Pagos!$J$6:$J$305,"Pendiente",Pagos!$E$6:$E$305,"&lt;"&amp;TODAY())&gt;0,"Vencido",IF(Q43=0,"Sin pagos",IF(R43=0,"Pagado","Pago parcial"))))</x:f>
      </x:c>
      <x:c r="U43" s="87" t="str">
        <x:f>IF(B43="","",IF(AND(M43="Cotizado",J43&lt;&gt;""),"⚠ Quitá Precio contratado o cambiá Estado",IF(AND(OR(M43="Reservado",M43="Contratado",M43="Finalizado"),J43=""),"⚠ Falta Precio contratado","✓ OK")))</x:f>
      </x:c>
    </x:row>
    <x:row r="44">
      <x:c r="A44" s="61"/>
      <x:c r="B44" s="59"/>
      <x:c r="C44" s="24"/>
      <x:c r="D44" s="59"/>
      <x:c r="E44" s="59"/>
      <x:c r="F44" s="59"/>
      <x:c r="G44" s="59"/>
      <x:c r="H44" s="59"/>
      <x:c r="I44" s="63"/>
      <x:c r="J44" s="63"/>
      <x:c r="K44" s="24"/>
      <x:c r="L44" s="65"/>
      <x:c r="M44" s="24"/>
      <x:c r="N44" s="24"/>
      <x:c r="O44" s="59"/>
      <x:c r="P44" s="71"/>
      <x:c r="Q44" s="67" t="str">
        <x:f>IF(B44="","",SUMIFS(Pagos!$G$6:$G$305,Pagos!$B$6:$B$305,B44,Pagos!$J$6:$J$305,"Pagado"))</x:f>
      </x:c>
      <x:c r="R44" s="67" t="str">
        <x:f>IF(B44="","",MAX(0,IF(J44&lt;&gt;"",J44,IF(I44&lt;&gt;"",I44,0))-Q44))</x:f>
      </x:c>
      <x:c r="S44" s="69" t="str">
        <x:f>IF(B44="","",IFERROR(MINIFS(Pagos!$E$6:$E$305,Pagos!$B$6:$B$305,B44,Pagos!$J$6:$J$305,"Pendiente",Pagos!$E$6:$E$305,"&gt;="&amp;TODAY()),""))</x:f>
      </x:c>
      <x:c r="T44" s="61" t="str">
        <x:f>IF(B44="","",IF(COUNTIFS(Pagos!$B$6:$B$305,B44,Pagos!$J$6:$J$305,"Pendiente",Pagos!$E$6:$E$305,"&lt;"&amp;TODAY())&gt;0,"Vencido",IF(Q44=0,"Sin pagos",IF(R44=0,"Pagado","Pago parcial"))))</x:f>
      </x:c>
      <x:c r="U44" s="87" t="str">
        <x:f>IF(B44="","",IF(AND(M44="Cotizado",J44&lt;&gt;""),"⚠ Quitá Precio contratado o cambiá Estado",IF(AND(OR(M44="Reservado",M44="Contratado",M44="Finalizado"),J44=""),"⚠ Falta Precio contratado","✓ OK")))</x:f>
      </x:c>
    </x:row>
    <x:row r="45">
      <x:c r="A45" s="61"/>
      <x:c r="B45" s="59"/>
      <x:c r="C45" s="24"/>
      <x:c r="D45" s="59"/>
      <x:c r="E45" s="59"/>
      <x:c r="F45" s="59"/>
      <x:c r="G45" s="59"/>
      <x:c r="H45" s="59"/>
      <x:c r="I45" s="63"/>
      <x:c r="J45" s="63"/>
      <x:c r="K45" s="24"/>
      <x:c r="L45" s="65"/>
      <x:c r="M45" s="24"/>
      <x:c r="N45" s="24"/>
      <x:c r="O45" s="59"/>
      <x:c r="P45" s="71"/>
      <x:c r="Q45" s="67" t="str">
        <x:f>IF(B45="","",SUMIFS(Pagos!$G$6:$G$305,Pagos!$B$6:$B$305,B45,Pagos!$J$6:$J$305,"Pagado"))</x:f>
      </x:c>
      <x:c r="R45" s="67" t="str">
        <x:f>IF(B45="","",MAX(0,IF(J45&lt;&gt;"",J45,IF(I45&lt;&gt;"",I45,0))-Q45))</x:f>
      </x:c>
      <x:c r="S45" s="69" t="str">
        <x:f>IF(B45="","",IFERROR(MINIFS(Pagos!$E$6:$E$305,Pagos!$B$6:$B$305,B45,Pagos!$J$6:$J$305,"Pendiente",Pagos!$E$6:$E$305,"&gt;="&amp;TODAY()),""))</x:f>
      </x:c>
      <x:c r="T45" s="61" t="str">
        <x:f>IF(B45="","",IF(COUNTIFS(Pagos!$B$6:$B$305,B45,Pagos!$J$6:$J$305,"Pendiente",Pagos!$E$6:$E$305,"&lt;"&amp;TODAY())&gt;0,"Vencido",IF(Q45=0,"Sin pagos",IF(R45=0,"Pagado","Pago parcial"))))</x:f>
      </x:c>
      <x:c r="U45" s="87" t="str">
        <x:f>IF(B45="","",IF(AND(M45="Cotizado",J45&lt;&gt;""),"⚠ Quitá Precio contratado o cambiá Estado",IF(AND(OR(M45="Reservado",M45="Contratado",M45="Finalizado"),J45=""),"⚠ Falta Precio contratado","✓ OK")))</x:f>
      </x:c>
    </x:row>
    <x:row r="46">
      <x:c r="A46" s="61"/>
      <x:c r="B46" s="59"/>
      <x:c r="C46" s="24"/>
      <x:c r="D46" s="59"/>
      <x:c r="E46" s="59"/>
      <x:c r="F46" s="59"/>
      <x:c r="G46" s="59"/>
      <x:c r="H46" s="59"/>
      <x:c r="I46" s="63"/>
      <x:c r="J46" s="63"/>
      <x:c r="K46" s="24"/>
      <x:c r="L46" s="65"/>
      <x:c r="M46" s="24"/>
      <x:c r="N46" s="24"/>
      <x:c r="O46" s="59"/>
      <x:c r="P46" s="71"/>
      <x:c r="Q46" s="67" t="str">
        <x:f>IF(B46="","",SUMIFS(Pagos!$G$6:$G$305,Pagos!$B$6:$B$305,B46,Pagos!$J$6:$J$305,"Pagado"))</x:f>
      </x:c>
      <x:c r="R46" s="67" t="str">
        <x:f>IF(B46="","",MAX(0,IF(J46&lt;&gt;"",J46,IF(I46&lt;&gt;"",I46,0))-Q46))</x:f>
      </x:c>
      <x:c r="S46" s="69" t="str">
        <x:f>IF(B46="","",IFERROR(MINIFS(Pagos!$E$6:$E$305,Pagos!$B$6:$B$305,B46,Pagos!$J$6:$J$305,"Pendiente",Pagos!$E$6:$E$305,"&gt;="&amp;TODAY()),""))</x:f>
      </x:c>
      <x:c r="T46" s="61" t="str">
        <x:f>IF(B46="","",IF(COUNTIFS(Pagos!$B$6:$B$305,B46,Pagos!$J$6:$J$305,"Pendiente",Pagos!$E$6:$E$305,"&lt;"&amp;TODAY())&gt;0,"Vencido",IF(Q46=0,"Sin pagos",IF(R46=0,"Pagado","Pago parcial"))))</x:f>
      </x:c>
      <x:c r="U46" s="87" t="str">
        <x:f>IF(B46="","",IF(AND(M46="Cotizado",J46&lt;&gt;""),"⚠ Quitá Precio contratado o cambiá Estado",IF(AND(OR(M46="Reservado",M46="Contratado",M46="Finalizado"),J46=""),"⚠ Falta Precio contratado","✓ OK")))</x:f>
      </x:c>
    </x:row>
    <x:row r="47">
      <x:c r="A47" s="61"/>
      <x:c r="B47" s="59"/>
      <x:c r="C47" s="24"/>
      <x:c r="D47" s="59"/>
      <x:c r="E47" s="59"/>
      <x:c r="F47" s="59"/>
      <x:c r="G47" s="59"/>
      <x:c r="H47" s="59"/>
      <x:c r="I47" s="63"/>
      <x:c r="J47" s="63"/>
      <x:c r="K47" s="24"/>
      <x:c r="L47" s="65"/>
      <x:c r="M47" s="24"/>
      <x:c r="N47" s="24"/>
      <x:c r="O47" s="59"/>
      <x:c r="P47" s="71"/>
      <x:c r="Q47" s="67" t="str">
        <x:f>IF(B47="","",SUMIFS(Pagos!$G$6:$G$305,Pagos!$B$6:$B$305,B47,Pagos!$J$6:$J$305,"Pagado"))</x:f>
      </x:c>
      <x:c r="R47" s="67" t="str">
        <x:f>IF(B47="","",MAX(0,IF(J47&lt;&gt;"",J47,IF(I47&lt;&gt;"",I47,0))-Q47))</x:f>
      </x:c>
      <x:c r="S47" s="69" t="str">
        <x:f>IF(B47="","",IFERROR(MINIFS(Pagos!$E$6:$E$305,Pagos!$B$6:$B$305,B47,Pagos!$J$6:$J$305,"Pendiente",Pagos!$E$6:$E$305,"&gt;="&amp;TODAY()),""))</x:f>
      </x:c>
      <x:c r="T47" s="61" t="str">
        <x:f>IF(B47="","",IF(COUNTIFS(Pagos!$B$6:$B$305,B47,Pagos!$J$6:$J$305,"Pendiente",Pagos!$E$6:$E$305,"&lt;"&amp;TODAY())&gt;0,"Vencido",IF(Q47=0,"Sin pagos",IF(R47=0,"Pagado","Pago parcial"))))</x:f>
      </x:c>
      <x:c r="U47" s="87" t="str">
        <x:f>IF(B47="","",IF(AND(M47="Cotizado",J47&lt;&gt;""),"⚠ Quitá Precio contratado o cambiá Estado",IF(AND(OR(M47="Reservado",M47="Contratado",M47="Finalizado"),J47=""),"⚠ Falta Precio contratado","✓ OK")))</x:f>
      </x:c>
    </x:row>
    <x:row r="48">
      <x:c r="A48" s="61"/>
      <x:c r="B48" s="59"/>
      <x:c r="C48" s="24"/>
      <x:c r="D48" s="59"/>
      <x:c r="E48" s="59"/>
      <x:c r="F48" s="59"/>
      <x:c r="G48" s="59"/>
      <x:c r="H48" s="59"/>
      <x:c r="I48" s="63"/>
      <x:c r="J48" s="63"/>
      <x:c r="K48" s="24"/>
      <x:c r="L48" s="65"/>
      <x:c r="M48" s="24"/>
      <x:c r="N48" s="24"/>
      <x:c r="O48" s="59"/>
      <x:c r="P48" s="71"/>
      <x:c r="Q48" s="67" t="str">
        <x:f>IF(B48="","",SUMIFS(Pagos!$G$6:$G$305,Pagos!$B$6:$B$305,B48,Pagos!$J$6:$J$305,"Pagado"))</x:f>
      </x:c>
      <x:c r="R48" s="67" t="str">
        <x:f>IF(B48="","",MAX(0,IF(J48&lt;&gt;"",J48,IF(I48&lt;&gt;"",I48,0))-Q48))</x:f>
      </x:c>
      <x:c r="S48" s="69" t="str">
        <x:f>IF(B48="","",IFERROR(MINIFS(Pagos!$E$6:$E$305,Pagos!$B$6:$B$305,B48,Pagos!$J$6:$J$305,"Pendiente",Pagos!$E$6:$E$305,"&gt;="&amp;TODAY()),""))</x:f>
      </x:c>
      <x:c r="T48" s="61" t="str">
        <x:f>IF(B48="","",IF(COUNTIFS(Pagos!$B$6:$B$305,B48,Pagos!$J$6:$J$305,"Pendiente",Pagos!$E$6:$E$305,"&lt;"&amp;TODAY())&gt;0,"Vencido",IF(Q48=0,"Sin pagos",IF(R48=0,"Pagado","Pago parcial"))))</x:f>
      </x:c>
      <x:c r="U48" s="87" t="str">
        <x:f>IF(B48="","",IF(AND(M48="Cotizado",J48&lt;&gt;""),"⚠ Quitá Precio contratado o cambiá Estado",IF(AND(OR(M48="Reservado",M48="Contratado",M48="Finalizado"),J48=""),"⚠ Falta Precio contratado","✓ OK")))</x:f>
      </x:c>
    </x:row>
    <x:row r="49">
      <x:c r="A49" s="61"/>
      <x:c r="B49" s="59"/>
      <x:c r="C49" s="24"/>
      <x:c r="D49" s="59"/>
      <x:c r="E49" s="59"/>
      <x:c r="F49" s="59"/>
      <x:c r="G49" s="59"/>
      <x:c r="H49" s="59"/>
      <x:c r="I49" s="63"/>
      <x:c r="J49" s="63"/>
      <x:c r="K49" s="24"/>
      <x:c r="L49" s="65"/>
      <x:c r="M49" s="24"/>
      <x:c r="N49" s="24"/>
      <x:c r="O49" s="59"/>
      <x:c r="P49" s="71"/>
      <x:c r="Q49" s="67" t="str">
        <x:f>IF(B49="","",SUMIFS(Pagos!$G$6:$G$305,Pagos!$B$6:$B$305,B49,Pagos!$J$6:$J$305,"Pagado"))</x:f>
      </x:c>
      <x:c r="R49" s="67" t="str">
        <x:f>IF(B49="","",MAX(0,IF(J49&lt;&gt;"",J49,IF(I49&lt;&gt;"",I49,0))-Q49))</x:f>
      </x:c>
      <x:c r="S49" s="69" t="str">
        <x:f>IF(B49="","",IFERROR(MINIFS(Pagos!$E$6:$E$305,Pagos!$B$6:$B$305,B49,Pagos!$J$6:$J$305,"Pendiente",Pagos!$E$6:$E$305,"&gt;="&amp;TODAY()),""))</x:f>
      </x:c>
      <x:c r="T49" s="61" t="str">
        <x:f>IF(B49="","",IF(COUNTIFS(Pagos!$B$6:$B$305,B49,Pagos!$J$6:$J$305,"Pendiente",Pagos!$E$6:$E$305,"&lt;"&amp;TODAY())&gt;0,"Vencido",IF(Q49=0,"Sin pagos",IF(R49=0,"Pagado","Pago parcial"))))</x:f>
      </x:c>
      <x:c r="U49" s="87" t="str">
        <x:f>IF(B49="","",IF(AND(M49="Cotizado",J49&lt;&gt;""),"⚠ Quitá Precio contratado o cambiá Estado",IF(AND(OR(M49="Reservado",M49="Contratado",M49="Finalizado"),J49=""),"⚠ Falta Precio contratado","✓ OK")))</x:f>
      </x:c>
    </x:row>
    <x:row r="50">
      <x:c r="A50" s="61"/>
      <x:c r="B50" s="59"/>
      <x:c r="C50" s="24"/>
      <x:c r="D50" s="59"/>
      <x:c r="E50" s="59"/>
      <x:c r="F50" s="59"/>
      <x:c r="G50" s="59"/>
      <x:c r="H50" s="59"/>
      <x:c r="I50" s="63"/>
      <x:c r="J50" s="63"/>
      <x:c r="K50" s="24"/>
      <x:c r="L50" s="65"/>
      <x:c r="M50" s="24"/>
      <x:c r="N50" s="24"/>
      <x:c r="O50" s="59"/>
      <x:c r="P50" s="71"/>
      <x:c r="Q50" s="67" t="str">
        <x:f>IF(B50="","",SUMIFS(Pagos!$G$6:$G$305,Pagos!$B$6:$B$305,B50,Pagos!$J$6:$J$305,"Pagado"))</x:f>
      </x:c>
      <x:c r="R50" s="67" t="str">
        <x:f>IF(B50="","",MAX(0,IF(J50&lt;&gt;"",J50,IF(I50&lt;&gt;"",I50,0))-Q50))</x:f>
      </x:c>
      <x:c r="S50" s="69" t="str">
        <x:f>IF(B50="","",IFERROR(MINIFS(Pagos!$E$6:$E$305,Pagos!$B$6:$B$305,B50,Pagos!$J$6:$J$305,"Pendiente",Pagos!$E$6:$E$305,"&gt;="&amp;TODAY()),""))</x:f>
      </x:c>
      <x:c r="T50" s="61" t="str">
        <x:f>IF(B50="","",IF(COUNTIFS(Pagos!$B$6:$B$305,B50,Pagos!$J$6:$J$305,"Pendiente",Pagos!$E$6:$E$305,"&lt;"&amp;TODAY())&gt;0,"Vencido",IF(Q50=0,"Sin pagos",IF(R50=0,"Pagado","Pago parcial"))))</x:f>
      </x:c>
      <x:c r="U50" s="87" t="str">
        <x:f>IF(B50="","",IF(AND(M50="Cotizado",J50&lt;&gt;""),"⚠ Quitá Precio contratado o cambiá Estado",IF(AND(OR(M50="Reservado",M50="Contratado",M50="Finalizado"),J50=""),"⚠ Falta Precio contratado","✓ OK")))</x:f>
      </x:c>
    </x:row>
    <x:row r="51">
      <x:c r="A51" s="61"/>
      <x:c r="B51" s="59"/>
      <x:c r="C51" s="24"/>
      <x:c r="D51" s="59"/>
      <x:c r="E51" s="59"/>
      <x:c r="F51" s="59"/>
      <x:c r="G51" s="59"/>
      <x:c r="H51" s="59"/>
      <x:c r="I51" s="63"/>
      <x:c r="J51" s="63"/>
      <x:c r="K51" s="24"/>
      <x:c r="L51" s="65"/>
      <x:c r="M51" s="24"/>
      <x:c r="N51" s="24"/>
      <x:c r="O51" s="59"/>
      <x:c r="P51" s="71"/>
      <x:c r="Q51" s="67" t="str">
        <x:f>IF(B51="","",SUMIFS(Pagos!$G$6:$G$305,Pagos!$B$6:$B$305,B51,Pagos!$J$6:$J$305,"Pagado"))</x:f>
      </x:c>
      <x:c r="R51" s="67" t="str">
        <x:f>IF(B51="","",MAX(0,IF(J51&lt;&gt;"",J51,IF(I51&lt;&gt;"",I51,0))-Q51))</x:f>
      </x:c>
      <x:c r="S51" s="69" t="str">
        <x:f>IF(B51="","",IFERROR(MINIFS(Pagos!$E$6:$E$305,Pagos!$B$6:$B$305,B51,Pagos!$J$6:$J$305,"Pendiente",Pagos!$E$6:$E$305,"&gt;="&amp;TODAY()),""))</x:f>
      </x:c>
      <x:c r="T51" s="61" t="str">
        <x:f>IF(B51="","",IF(COUNTIFS(Pagos!$B$6:$B$305,B51,Pagos!$J$6:$J$305,"Pendiente",Pagos!$E$6:$E$305,"&lt;"&amp;TODAY())&gt;0,"Vencido",IF(Q51=0,"Sin pagos",IF(R51=0,"Pagado","Pago parcial"))))</x:f>
      </x:c>
      <x:c r="U51" s="87" t="str">
        <x:f>IF(B51="","",IF(AND(M51="Cotizado",J51&lt;&gt;""),"⚠ Quitá Precio contratado o cambiá Estado",IF(AND(OR(M51="Reservado",M51="Contratado",M51="Finalizado"),J51=""),"⚠ Falta Precio contratado","✓ OK")))</x:f>
      </x:c>
    </x:row>
    <x:row r="52">
      <x:c r="A52" s="61"/>
      <x:c r="B52" s="59"/>
      <x:c r="C52" s="24"/>
      <x:c r="D52" s="59"/>
      <x:c r="E52" s="59"/>
      <x:c r="F52" s="59"/>
      <x:c r="G52" s="59"/>
      <x:c r="H52" s="59"/>
      <x:c r="I52" s="63"/>
      <x:c r="J52" s="63"/>
      <x:c r="K52" s="24"/>
      <x:c r="L52" s="65"/>
      <x:c r="M52" s="24"/>
      <x:c r="N52" s="24"/>
      <x:c r="O52" s="59"/>
      <x:c r="P52" s="71"/>
      <x:c r="Q52" s="67" t="str">
        <x:f>IF(B52="","",SUMIFS(Pagos!$G$6:$G$305,Pagos!$B$6:$B$305,B52,Pagos!$J$6:$J$305,"Pagado"))</x:f>
      </x:c>
      <x:c r="R52" s="67" t="str">
        <x:f>IF(B52="","",MAX(0,IF(J52&lt;&gt;"",J52,IF(I52&lt;&gt;"",I52,0))-Q52))</x:f>
      </x:c>
      <x:c r="S52" s="69" t="str">
        <x:f>IF(B52="","",IFERROR(MINIFS(Pagos!$E$6:$E$305,Pagos!$B$6:$B$305,B52,Pagos!$J$6:$J$305,"Pendiente",Pagos!$E$6:$E$305,"&gt;="&amp;TODAY()),""))</x:f>
      </x:c>
      <x:c r="T52" s="61" t="str">
        <x:f>IF(B52="","",IF(COUNTIFS(Pagos!$B$6:$B$305,B52,Pagos!$J$6:$J$305,"Pendiente",Pagos!$E$6:$E$305,"&lt;"&amp;TODAY())&gt;0,"Vencido",IF(Q52=0,"Sin pagos",IF(R52=0,"Pagado","Pago parcial"))))</x:f>
      </x:c>
      <x:c r="U52" s="87" t="str">
        <x:f>IF(B52="","",IF(AND(M52="Cotizado",J52&lt;&gt;""),"⚠ Quitá Precio contratado o cambiá Estado",IF(AND(OR(M52="Reservado",M52="Contratado",M52="Finalizado"),J52=""),"⚠ Falta Precio contratado","✓ OK")))</x:f>
      </x:c>
    </x:row>
    <x:row r="53">
      <x:c r="A53" s="61"/>
      <x:c r="B53" s="59"/>
      <x:c r="C53" s="24"/>
      <x:c r="D53" s="59"/>
      <x:c r="E53" s="59"/>
      <x:c r="F53" s="59"/>
      <x:c r="G53" s="59"/>
      <x:c r="H53" s="59"/>
      <x:c r="I53" s="63"/>
      <x:c r="J53" s="63"/>
      <x:c r="K53" s="24"/>
      <x:c r="L53" s="65"/>
      <x:c r="M53" s="24"/>
      <x:c r="N53" s="24"/>
      <x:c r="O53" s="59"/>
      <x:c r="P53" s="71"/>
      <x:c r="Q53" s="67" t="str">
        <x:f>IF(B53="","",SUMIFS(Pagos!$G$6:$G$305,Pagos!$B$6:$B$305,B53,Pagos!$J$6:$J$305,"Pagado"))</x:f>
      </x:c>
      <x:c r="R53" s="67" t="str">
        <x:f>IF(B53="","",MAX(0,IF(J53&lt;&gt;"",J53,IF(I53&lt;&gt;"",I53,0))-Q53))</x:f>
      </x:c>
      <x:c r="S53" s="69" t="str">
        <x:f>IF(B53="","",IFERROR(MINIFS(Pagos!$E$6:$E$305,Pagos!$B$6:$B$305,B53,Pagos!$J$6:$J$305,"Pendiente",Pagos!$E$6:$E$305,"&gt;="&amp;TODAY()),""))</x:f>
      </x:c>
      <x:c r="T53" s="61" t="str">
        <x:f>IF(B53="","",IF(COUNTIFS(Pagos!$B$6:$B$305,B53,Pagos!$J$6:$J$305,"Pendiente",Pagos!$E$6:$E$305,"&lt;"&amp;TODAY())&gt;0,"Vencido",IF(Q53=0,"Sin pagos",IF(R53=0,"Pagado","Pago parcial"))))</x:f>
      </x:c>
      <x:c r="U53" s="87" t="str">
        <x:f>IF(B53="","",IF(AND(M53="Cotizado",J53&lt;&gt;""),"⚠ Quitá Precio contratado o cambiá Estado",IF(AND(OR(M53="Reservado",M53="Contratado",M53="Finalizado"),J53=""),"⚠ Falta Precio contratado","✓ OK")))</x:f>
      </x:c>
    </x:row>
    <x:row r="54">
      <x:c r="A54" s="61"/>
      <x:c r="B54" s="59"/>
      <x:c r="C54" s="24"/>
      <x:c r="D54" s="59"/>
      <x:c r="E54" s="59"/>
      <x:c r="F54" s="59"/>
      <x:c r="G54" s="59"/>
      <x:c r="H54" s="59"/>
      <x:c r="I54" s="63"/>
      <x:c r="J54" s="63"/>
      <x:c r="K54" s="24"/>
      <x:c r="L54" s="65"/>
      <x:c r="M54" s="24"/>
      <x:c r="N54" s="24"/>
      <x:c r="O54" s="59"/>
      <x:c r="P54" s="71"/>
      <x:c r="Q54" s="67" t="str">
        <x:f>IF(B54="","",SUMIFS(Pagos!$G$6:$G$305,Pagos!$B$6:$B$305,B54,Pagos!$J$6:$J$305,"Pagado"))</x:f>
      </x:c>
      <x:c r="R54" s="67" t="str">
        <x:f>IF(B54="","",MAX(0,IF(J54&lt;&gt;"",J54,IF(I54&lt;&gt;"",I54,0))-Q54))</x:f>
      </x:c>
      <x:c r="S54" s="69" t="str">
        <x:f>IF(B54="","",IFERROR(MINIFS(Pagos!$E$6:$E$305,Pagos!$B$6:$B$305,B54,Pagos!$J$6:$J$305,"Pendiente",Pagos!$E$6:$E$305,"&gt;="&amp;TODAY()),""))</x:f>
      </x:c>
      <x:c r="T54" s="61" t="str">
        <x:f>IF(B54="","",IF(COUNTIFS(Pagos!$B$6:$B$305,B54,Pagos!$J$6:$J$305,"Pendiente",Pagos!$E$6:$E$305,"&lt;"&amp;TODAY())&gt;0,"Vencido",IF(Q54=0,"Sin pagos",IF(R54=0,"Pagado","Pago parcial"))))</x:f>
      </x:c>
      <x:c r="U54" s="87" t="str">
        <x:f>IF(B54="","",IF(AND(M54="Cotizado",J54&lt;&gt;""),"⚠ Quitá Precio contratado o cambiá Estado",IF(AND(OR(M54="Reservado",M54="Contratado",M54="Finalizado"),J54=""),"⚠ Falta Precio contratado","✓ OK")))</x:f>
      </x:c>
    </x:row>
    <x:row r="55">
      <x:c r="A55" s="61"/>
      <x:c r="B55" s="59"/>
      <x:c r="C55" s="24"/>
      <x:c r="D55" s="59"/>
      <x:c r="E55" s="59"/>
      <x:c r="F55" s="59"/>
      <x:c r="G55" s="59"/>
      <x:c r="H55" s="59"/>
      <x:c r="I55" s="63"/>
      <x:c r="J55" s="63"/>
      <x:c r="K55" s="24"/>
      <x:c r="L55" s="65"/>
      <x:c r="M55" s="24"/>
      <x:c r="N55" s="24"/>
      <x:c r="O55" s="59"/>
      <x:c r="P55" s="71"/>
      <x:c r="Q55" s="67" t="str">
        <x:f>IF(B55="","",SUMIFS(Pagos!$G$6:$G$305,Pagos!$B$6:$B$305,B55,Pagos!$J$6:$J$305,"Pagado"))</x:f>
      </x:c>
      <x:c r="R55" s="67" t="str">
        <x:f>IF(B55="","",MAX(0,IF(J55&lt;&gt;"",J55,IF(I55&lt;&gt;"",I55,0))-Q55))</x:f>
      </x:c>
      <x:c r="S55" s="69" t="str">
        <x:f>IF(B55="","",IFERROR(MINIFS(Pagos!$E$6:$E$305,Pagos!$B$6:$B$305,B55,Pagos!$J$6:$J$305,"Pendiente",Pagos!$E$6:$E$305,"&gt;="&amp;TODAY()),""))</x:f>
      </x:c>
      <x:c r="T55" s="61" t="str">
        <x:f>IF(B55="","",IF(COUNTIFS(Pagos!$B$6:$B$305,B55,Pagos!$J$6:$J$305,"Pendiente",Pagos!$E$6:$E$305,"&lt;"&amp;TODAY())&gt;0,"Vencido",IF(Q55=0,"Sin pagos",IF(R55=0,"Pagado","Pago parcial"))))</x:f>
      </x:c>
      <x:c r="U55" s="87" t="str">
        <x:f>IF(B55="","",IF(AND(M55="Cotizado",J55&lt;&gt;""),"⚠ Quitá Precio contratado o cambiá Estado",IF(AND(OR(M55="Reservado",M55="Contratado",M55="Finalizado"),J55=""),"⚠ Falta Precio contratado","✓ OK")))</x:f>
      </x:c>
    </x:row>
    <x:row r="56">
      <x:c r="A56" s="61"/>
      <x:c r="B56" s="59"/>
      <x:c r="C56" s="24"/>
      <x:c r="D56" s="59"/>
      <x:c r="E56" s="59"/>
      <x:c r="F56" s="59"/>
      <x:c r="G56" s="59"/>
      <x:c r="H56" s="59"/>
      <x:c r="I56" s="63"/>
      <x:c r="J56" s="63"/>
      <x:c r="K56" s="24"/>
      <x:c r="L56" s="65"/>
      <x:c r="M56" s="24"/>
      <x:c r="N56" s="24"/>
      <x:c r="O56" s="59"/>
      <x:c r="P56" s="71"/>
      <x:c r="Q56" s="67" t="str">
        <x:f>IF(B56="","",SUMIFS(Pagos!$G$6:$G$305,Pagos!$B$6:$B$305,B56,Pagos!$J$6:$J$305,"Pagado"))</x:f>
      </x:c>
      <x:c r="R56" s="67" t="str">
        <x:f>IF(B56="","",MAX(0,IF(J56&lt;&gt;"",J56,IF(I56&lt;&gt;"",I56,0))-Q56))</x:f>
      </x:c>
      <x:c r="S56" s="69" t="str">
        <x:f>IF(B56="","",IFERROR(MINIFS(Pagos!$E$6:$E$305,Pagos!$B$6:$B$305,B56,Pagos!$J$6:$J$305,"Pendiente",Pagos!$E$6:$E$305,"&gt;="&amp;TODAY()),""))</x:f>
      </x:c>
      <x:c r="T56" s="61" t="str">
        <x:f>IF(B56="","",IF(COUNTIFS(Pagos!$B$6:$B$305,B56,Pagos!$J$6:$J$305,"Pendiente",Pagos!$E$6:$E$305,"&lt;"&amp;TODAY())&gt;0,"Vencido",IF(Q56=0,"Sin pagos",IF(R56=0,"Pagado","Pago parcial"))))</x:f>
      </x:c>
      <x:c r="U56" s="87" t="str">
        <x:f>IF(B56="","",IF(AND(M56="Cotizado",J56&lt;&gt;""),"⚠ Quitá Precio contratado o cambiá Estado",IF(AND(OR(M56="Reservado",M56="Contratado",M56="Finalizado"),J56=""),"⚠ Falta Precio contratado","✓ OK")))</x:f>
      </x:c>
    </x:row>
    <x:row r="57">
      <x:c r="A57" s="61"/>
      <x:c r="B57" s="59"/>
      <x:c r="C57" s="24"/>
      <x:c r="D57" s="59"/>
      <x:c r="E57" s="59"/>
      <x:c r="F57" s="59"/>
      <x:c r="G57" s="59"/>
      <x:c r="H57" s="59"/>
      <x:c r="I57" s="63"/>
      <x:c r="J57" s="63"/>
      <x:c r="K57" s="24"/>
      <x:c r="L57" s="65"/>
      <x:c r="M57" s="24"/>
      <x:c r="N57" s="24"/>
      <x:c r="O57" s="59"/>
      <x:c r="P57" s="71"/>
      <x:c r="Q57" s="67" t="str">
        <x:f>IF(B57="","",SUMIFS(Pagos!$G$6:$G$305,Pagos!$B$6:$B$305,B57,Pagos!$J$6:$J$305,"Pagado"))</x:f>
      </x:c>
      <x:c r="R57" s="67" t="str">
        <x:f>IF(B57="","",MAX(0,IF(J57&lt;&gt;"",J57,IF(I57&lt;&gt;"",I57,0))-Q57))</x:f>
      </x:c>
      <x:c r="S57" s="69" t="str">
        <x:f>IF(B57="","",IFERROR(MINIFS(Pagos!$E$6:$E$305,Pagos!$B$6:$B$305,B57,Pagos!$J$6:$J$305,"Pendiente",Pagos!$E$6:$E$305,"&gt;="&amp;TODAY()),""))</x:f>
      </x:c>
      <x:c r="T57" s="61" t="str">
        <x:f>IF(B57="","",IF(COUNTIFS(Pagos!$B$6:$B$305,B57,Pagos!$J$6:$J$305,"Pendiente",Pagos!$E$6:$E$305,"&lt;"&amp;TODAY())&gt;0,"Vencido",IF(Q57=0,"Sin pagos",IF(R57=0,"Pagado","Pago parcial"))))</x:f>
      </x:c>
      <x:c r="U57" s="87" t="str">
        <x:f>IF(B57="","",IF(AND(M57="Cotizado",J57&lt;&gt;""),"⚠ Quitá Precio contratado o cambiá Estado",IF(AND(OR(M57="Reservado",M57="Contratado",M57="Finalizado"),J57=""),"⚠ Falta Precio contratado","✓ OK")))</x:f>
      </x:c>
    </x:row>
    <x:row r="58">
      <x:c r="A58" s="61"/>
      <x:c r="B58" s="59"/>
      <x:c r="C58" s="24"/>
      <x:c r="D58" s="59"/>
      <x:c r="E58" s="59"/>
      <x:c r="F58" s="59"/>
      <x:c r="G58" s="59"/>
      <x:c r="H58" s="59"/>
      <x:c r="I58" s="63"/>
      <x:c r="J58" s="63"/>
      <x:c r="K58" s="24"/>
      <x:c r="L58" s="65"/>
      <x:c r="M58" s="24"/>
      <x:c r="N58" s="24"/>
      <x:c r="O58" s="59"/>
      <x:c r="P58" s="71"/>
      <x:c r="Q58" s="67" t="str">
        <x:f>IF(B58="","",SUMIFS(Pagos!$G$6:$G$305,Pagos!$B$6:$B$305,B58,Pagos!$J$6:$J$305,"Pagado"))</x:f>
      </x:c>
      <x:c r="R58" s="67" t="str">
        <x:f>IF(B58="","",MAX(0,IF(J58&lt;&gt;"",J58,IF(I58&lt;&gt;"",I58,0))-Q58))</x:f>
      </x:c>
      <x:c r="S58" s="69" t="str">
        <x:f>IF(B58="","",IFERROR(MINIFS(Pagos!$E$6:$E$305,Pagos!$B$6:$B$305,B58,Pagos!$J$6:$J$305,"Pendiente",Pagos!$E$6:$E$305,"&gt;="&amp;TODAY()),""))</x:f>
      </x:c>
      <x:c r="T58" s="61" t="str">
        <x:f>IF(B58="","",IF(COUNTIFS(Pagos!$B$6:$B$305,B58,Pagos!$J$6:$J$305,"Pendiente",Pagos!$E$6:$E$305,"&lt;"&amp;TODAY())&gt;0,"Vencido",IF(Q58=0,"Sin pagos",IF(R58=0,"Pagado","Pago parcial"))))</x:f>
      </x:c>
      <x:c r="U58" s="87" t="str">
        <x:f>IF(B58="","",IF(AND(M58="Cotizado",J58&lt;&gt;""),"⚠ Quitá Precio contratado o cambiá Estado",IF(AND(OR(M58="Reservado",M58="Contratado",M58="Finalizado"),J58=""),"⚠ Falta Precio contratado","✓ OK")))</x:f>
      </x:c>
    </x:row>
    <x:row r="59">
      <x:c r="A59" s="61"/>
      <x:c r="B59" s="59"/>
      <x:c r="C59" s="24"/>
      <x:c r="D59" s="59"/>
      <x:c r="E59" s="59"/>
      <x:c r="F59" s="59"/>
      <x:c r="G59" s="59"/>
      <x:c r="H59" s="59"/>
      <x:c r="I59" s="63"/>
      <x:c r="J59" s="63"/>
      <x:c r="K59" s="24"/>
      <x:c r="L59" s="65"/>
      <x:c r="M59" s="24"/>
      <x:c r="N59" s="24"/>
      <x:c r="O59" s="59"/>
      <x:c r="P59" s="71"/>
      <x:c r="Q59" s="67" t="str">
        <x:f>IF(B59="","",SUMIFS(Pagos!$G$6:$G$305,Pagos!$B$6:$B$305,B59,Pagos!$J$6:$J$305,"Pagado"))</x:f>
      </x:c>
      <x:c r="R59" s="67" t="str">
        <x:f>IF(B59="","",MAX(0,IF(J59&lt;&gt;"",J59,IF(I59&lt;&gt;"",I59,0))-Q59))</x:f>
      </x:c>
      <x:c r="S59" s="69" t="str">
        <x:f>IF(B59="","",IFERROR(MINIFS(Pagos!$E$6:$E$305,Pagos!$B$6:$B$305,B59,Pagos!$J$6:$J$305,"Pendiente",Pagos!$E$6:$E$305,"&gt;="&amp;TODAY()),""))</x:f>
      </x:c>
      <x:c r="T59" s="61" t="str">
        <x:f>IF(B59="","",IF(COUNTIFS(Pagos!$B$6:$B$305,B59,Pagos!$J$6:$J$305,"Pendiente",Pagos!$E$6:$E$305,"&lt;"&amp;TODAY())&gt;0,"Vencido",IF(Q59=0,"Sin pagos",IF(R59=0,"Pagado","Pago parcial"))))</x:f>
      </x:c>
      <x:c r="U59" s="87" t="str">
        <x:f>IF(B59="","",IF(AND(M59="Cotizado",J59&lt;&gt;""),"⚠ Quitá Precio contratado o cambiá Estado",IF(AND(OR(M59="Reservado",M59="Contratado",M59="Finalizado"),J59=""),"⚠ Falta Precio contratado","✓ OK")))</x:f>
      </x:c>
    </x:row>
    <x:row r="60">
      <x:c r="A60" s="61"/>
      <x:c r="B60" s="59"/>
      <x:c r="C60" s="24"/>
      <x:c r="D60" s="59"/>
      <x:c r="E60" s="59"/>
      <x:c r="F60" s="59"/>
      <x:c r="G60" s="59"/>
      <x:c r="H60" s="59"/>
      <x:c r="I60" s="63"/>
      <x:c r="J60" s="63"/>
      <x:c r="K60" s="24"/>
      <x:c r="L60" s="65"/>
      <x:c r="M60" s="24"/>
      <x:c r="N60" s="24"/>
      <x:c r="O60" s="59"/>
      <x:c r="P60" s="71"/>
      <x:c r="Q60" s="67" t="str">
        <x:f>IF(B60="","",SUMIFS(Pagos!$G$6:$G$305,Pagos!$B$6:$B$305,B60,Pagos!$J$6:$J$305,"Pagado"))</x:f>
      </x:c>
      <x:c r="R60" s="67" t="str">
        <x:f>IF(B60="","",MAX(0,IF(J60&lt;&gt;"",J60,IF(I60&lt;&gt;"",I60,0))-Q60))</x:f>
      </x:c>
      <x:c r="S60" s="69" t="str">
        <x:f>IF(B60="","",IFERROR(MINIFS(Pagos!$E$6:$E$305,Pagos!$B$6:$B$305,B60,Pagos!$J$6:$J$305,"Pendiente",Pagos!$E$6:$E$305,"&gt;="&amp;TODAY()),""))</x:f>
      </x:c>
      <x:c r="T60" s="61" t="str">
        <x:f>IF(B60="","",IF(COUNTIFS(Pagos!$B$6:$B$305,B60,Pagos!$J$6:$J$305,"Pendiente",Pagos!$E$6:$E$305,"&lt;"&amp;TODAY())&gt;0,"Vencido",IF(Q60=0,"Sin pagos",IF(R60=0,"Pagado","Pago parcial"))))</x:f>
      </x:c>
      <x:c r="U60" s="87" t="str">
        <x:f>IF(B60="","",IF(AND(M60="Cotizado",J60&lt;&gt;""),"⚠ Quitá Precio contratado o cambiá Estado",IF(AND(OR(M60="Reservado",M60="Contratado",M60="Finalizado"),J60=""),"⚠ Falta Precio contratado","✓ OK")))</x:f>
      </x:c>
    </x:row>
    <x:row r="61">
      <x:c r="A61" s="61"/>
      <x:c r="B61" s="59"/>
      <x:c r="C61" s="24"/>
      <x:c r="D61" s="59"/>
      <x:c r="E61" s="59"/>
      <x:c r="F61" s="59"/>
      <x:c r="G61" s="59"/>
      <x:c r="H61" s="59"/>
      <x:c r="I61" s="63"/>
      <x:c r="J61" s="63"/>
      <x:c r="K61" s="24"/>
      <x:c r="L61" s="65"/>
      <x:c r="M61" s="24"/>
      <x:c r="N61" s="24"/>
      <x:c r="O61" s="59"/>
      <x:c r="P61" s="71"/>
      <x:c r="Q61" s="67" t="str">
        <x:f>IF(B61="","",SUMIFS(Pagos!$G$6:$G$305,Pagos!$B$6:$B$305,B61,Pagos!$J$6:$J$305,"Pagado"))</x:f>
      </x:c>
      <x:c r="R61" s="67" t="str">
        <x:f>IF(B61="","",MAX(0,IF(J61&lt;&gt;"",J61,IF(I61&lt;&gt;"",I61,0))-Q61))</x:f>
      </x:c>
      <x:c r="S61" s="69" t="str">
        <x:f>IF(B61="","",IFERROR(MINIFS(Pagos!$E$6:$E$305,Pagos!$B$6:$B$305,B61,Pagos!$J$6:$J$305,"Pendiente",Pagos!$E$6:$E$305,"&gt;="&amp;TODAY()),""))</x:f>
      </x:c>
      <x:c r="T61" s="61" t="str">
        <x:f>IF(B61="","",IF(COUNTIFS(Pagos!$B$6:$B$305,B61,Pagos!$J$6:$J$305,"Pendiente",Pagos!$E$6:$E$305,"&lt;"&amp;TODAY())&gt;0,"Vencido",IF(Q61=0,"Sin pagos",IF(R61=0,"Pagado","Pago parcial"))))</x:f>
      </x:c>
      <x:c r="U61" s="87" t="str">
        <x:f>IF(B61="","",IF(AND(M61="Cotizado",J61&lt;&gt;""),"⚠ Quitá Precio contratado o cambiá Estado",IF(AND(OR(M61="Reservado",M61="Contratado",M61="Finalizado"),J61=""),"⚠ Falta Precio contratado","✓ OK")))</x:f>
      </x:c>
    </x:row>
    <x:row r="62">
      <x:c r="A62" s="61"/>
      <x:c r="B62" s="59"/>
      <x:c r="C62" s="24"/>
      <x:c r="D62" s="59"/>
      <x:c r="E62" s="59"/>
      <x:c r="F62" s="59"/>
      <x:c r="G62" s="59"/>
      <x:c r="H62" s="59"/>
      <x:c r="I62" s="63"/>
      <x:c r="J62" s="63"/>
      <x:c r="K62" s="24"/>
      <x:c r="L62" s="65"/>
      <x:c r="M62" s="24"/>
      <x:c r="N62" s="24"/>
      <x:c r="O62" s="59"/>
      <x:c r="P62" s="71"/>
      <x:c r="Q62" s="67" t="str">
        <x:f>IF(B62="","",SUMIFS(Pagos!$G$6:$G$305,Pagos!$B$6:$B$305,B62,Pagos!$J$6:$J$305,"Pagado"))</x:f>
      </x:c>
      <x:c r="R62" s="67" t="str">
        <x:f>IF(B62="","",MAX(0,IF(J62&lt;&gt;"",J62,IF(I62&lt;&gt;"",I62,0))-Q62))</x:f>
      </x:c>
      <x:c r="S62" s="69" t="str">
        <x:f>IF(B62="","",IFERROR(MINIFS(Pagos!$E$6:$E$305,Pagos!$B$6:$B$305,B62,Pagos!$J$6:$J$305,"Pendiente",Pagos!$E$6:$E$305,"&gt;="&amp;TODAY()),""))</x:f>
      </x:c>
      <x:c r="T62" s="61" t="str">
        <x:f>IF(B62="","",IF(COUNTIFS(Pagos!$B$6:$B$305,B62,Pagos!$J$6:$J$305,"Pendiente",Pagos!$E$6:$E$305,"&lt;"&amp;TODAY())&gt;0,"Vencido",IF(Q62=0,"Sin pagos",IF(R62=0,"Pagado","Pago parcial"))))</x:f>
      </x:c>
      <x:c r="U62" s="87" t="str">
        <x:f>IF(B62="","",IF(AND(M62="Cotizado",J62&lt;&gt;""),"⚠ Quitá Precio contratado o cambiá Estado",IF(AND(OR(M62="Reservado",M62="Contratado",M62="Finalizado"),J62=""),"⚠ Falta Precio contratado","✓ OK")))</x:f>
      </x:c>
    </x:row>
    <x:row r="63">
      <x:c r="A63" s="61"/>
      <x:c r="B63" s="59"/>
      <x:c r="C63" s="24"/>
      <x:c r="D63" s="59"/>
      <x:c r="E63" s="59"/>
      <x:c r="F63" s="59"/>
      <x:c r="G63" s="59"/>
      <x:c r="H63" s="59"/>
      <x:c r="I63" s="63"/>
      <x:c r="J63" s="63"/>
      <x:c r="K63" s="24"/>
      <x:c r="L63" s="65"/>
      <x:c r="M63" s="24"/>
      <x:c r="N63" s="24"/>
      <x:c r="O63" s="59"/>
      <x:c r="P63" s="71"/>
      <x:c r="Q63" s="67" t="str">
        <x:f>IF(B63="","",SUMIFS(Pagos!$G$6:$G$305,Pagos!$B$6:$B$305,B63,Pagos!$J$6:$J$305,"Pagado"))</x:f>
      </x:c>
      <x:c r="R63" s="67" t="str">
        <x:f>IF(B63="","",MAX(0,IF(J63&lt;&gt;"",J63,IF(I63&lt;&gt;"",I63,0))-Q63))</x:f>
      </x:c>
      <x:c r="S63" s="69" t="str">
        <x:f>IF(B63="","",IFERROR(MINIFS(Pagos!$E$6:$E$305,Pagos!$B$6:$B$305,B63,Pagos!$J$6:$J$305,"Pendiente",Pagos!$E$6:$E$305,"&gt;="&amp;TODAY()),""))</x:f>
      </x:c>
      <x:c r="T63" s="61" t="str">
        <x:f>IF(B63="","",IF(COUNTIFS(Pagos!$B$6:$B$305,B63,Pagos!$J$6:$J$305,"Pendiente",Pagos!$E$6:$E$305,"&lt;"&amp;TODAY())&gt;0,"Vencido",IF(Q63=0,"Sin pagos",IF(R63=0,"Pagado","Pago parcial"))))</x:f>
      </x:c>
      <x:c r="U63" s="87" t="str">
        <x:f>IF(B63="","",IF(AND(M63="Cotizado",J63&lt;&gt;""),"⚠ Quitá Precio contratado o cambiá Estado",IF(AND(OR(M63="Reservado",M63="Contratado",M63="Finalizado"),J63=""),"⚠ Falta Precio contratado","✓ OK")))</x:f>
      </x:c>
    </x:row>
    <x:row r="64">
      <x:c r="A64" s="61"/>
      <x:c r="B64" s="59"/>
      <x:c r="C64" s="24"/>
      <x:c r="D64" s="59"/>
      <x:c r="E64" s="59"/>
      <x:c r="F64" s="59"/>
      <x:c r="G64" s="59"/>
      <x:c r="H64" s="59"/>
      <x:c r="I64" s="63"/>
      <x:c r="J64" s="63"/>
      <x:c r="K64" s="24"/>
      <x:c r="L64" s="65"/>
      <x:c r="M64" s="24"/>
      <x:c r="N64" s="24"/>
      <x:c r="O64" s="59"/>
      <x:c r="P64" s="71"/>
      <x:c r="Q64" s="67" t="str">
        <x:f>IF(B64="","",SUMIFS(Pagos!$G$6:$G$305,Pagos!$B$6:$B$305,B64,Pagos!$J$6:$J$305,"Pagado"))</x:f>
      </x:c>
      <x:c r="R64" s="67" t="str">
        <x:f>IF(B64="","",MAX(0,IF(J64&lt;&gt;"",J64,IF(I64&lt;&gt;"",I64,0))-Q64))</x:f>
      </x:c>
      <x:c r="S64" s="69" t="str">
        <x:f>IF(B64="","",IFERROR(MINIFS(Pagos!$E$6:$E$305,Pagos!$B$6:$B$305,B64,Pagos!$J$6:$J$305,"Pendiente",Pagos!$E$6:$E$305,"&gt;="&amp;TODAY()),""))</x:f>
      </x:c>
      <x:c r="T64" s="61" t="str">
        <x:f>IF(B64="","",IF(COUNTIFS(Pagos!$B$6:$B$305,B64,Pagos!$J$6:$J$305,"Pendiente",Pagos!$E$6:$E$305,"&lt;"&amp;TODAY())&gt;0,"Vencido",IF(Q64=0,"Sin pagos",IF(R64=0,"Pagado","Pago parcial"))))</x:f>
      </x:c>
      <x:c r="U64" s="87" t="str">
        <x:f>IF(B64="","",IF(AND(M64="Cotizado",J64&lt;&gt;""),"⚠ Quitá Precio contratado o cambiá Estado",IF(AND(OR(M64="Reservado",M64="Contratado",M64="Finalizado"),J64=""),"⚠ Falta Precio contratado","✓ OK")))</x:f>
      </x:c>
    </x:row>
    <x:row r="65">
      <x:c r="A65" s="61"/>
      <x:c r="B65" s="59"/>
      <x:c r="C65" s="24"/>
      <x:c r="D65" s="59"/>
      <x:c r="E65" s="59"/>
      <x:c r="F65" s="59"/>
      <x:c r="G65" s="59"/>
      <x:c r="H65" s="59"/>
      <x:c r="I65" s="63"/>
      <x:c r="J65" s="63"/>
      <x:c r="K65" s="24"/>
      <x:c r="L65" s="65"/>
      <x:c r="M65" s="24"/>
      <x:c r="N65" s="24"/>
      <x:c r="O65" s="59"/>
      <x:c r="P65" s="71"/>
      <x:c r="Q65" s="67" t="str">
        <x:f>IF(B65="","",SUMIFS(Pagos!$G$6:$G$305,Pagos!$B$6:$B$305,B65,Pagos!$J$6:$J$305,"Pagado"))</x:f>
      </x:c>
      <x:c r="R65" s="67" t="str">
        <x:f>IF(B65="","",MAX(0,IF(J65&lt;&gt;"",J65,IF(I65&lt;&gt;"",I65,0))-Q65))</x:f>
      </x:c>
      <x:c r="S65" s="69" t="str">
        <x:f>IF(B65="","",IFERROR(MINIFS(Pagos!$E$6:$E$305,Pagos!$B$6:$B$305,B65,Pagos!$J$6:$J$305,"Pendiente",Pagos!$E$6:$E$305,"&gt;="&amp;TODAY()),""))</x:f>
      </x:c>
      <x:c r="T65" s="61" t="str">
        <x:f>IF(B65="","",IF(COUNTIFS(Pagos!$B$6:$B$305,B65,Pagos!$J$6:$J$305,"Pendiente",Pagos!$E$6:$E$305,"&lt;"&amp;TODAY())&gt;0,"Vencido",IF(Q65=0,"Sin pagos",IF(R65=0,"Pagado","Pago parcial"))))</x:f>
      </x:c>
      <x:c r="U65" s="87" t="str">
        <x:f>IF(B65="","",IF(AND(M65="Cotizado",J65&lt;&gt;""),"⚠ Quitá Precio contratado o cambiá Estado",IF(AND(OR(M65="Reservado",M65="Contratado",M65="Finalizado"),J65=""),"⚠ Falta Precio contratado","✓ OK")))</x:f>
      </x:c>
    </x:row>
    <x:row r="66">
      <x:c r="A66" s="61"/>
      <x:c r="B66" s="59"/>
      <x:c r="C66" s="24"/>
      <x:c r="D66" s="59"/>
      <x:c r="E66" s="59"/>
      <x:c r="F66" s="59"/>
      <x:c r="G66" s="59"/>
      <x:c r="H66" s="59"/>
      <x:c r="I66" s="63"/>
      <x:c r="J66" s="63"/>
      <x:c r="K66" s="24"/>
      <x:c r="L66" s="65"/>
      <x:c r="M66" s="24"/>
      <x:c r="N66" s="24"/>
      <x:c r="O66" s="59"/>
      <x:c r="P66" s="71"/>
      <x:c r="Q66" s="67" t="str">
        <x:f>IF(B66="","",SUMIFS(Pagos!$G$6:$G$305,Pagos!$B$6:$B$305,B66,Pagos!$J$6:$J$305,"Pagado"))</x:f>
      </x:c>
      <x:c r="R66" s="67" t="str">
        <x:f>IF(B66="","",MAX(0,IF(J66&lt;&gt;"",J66,IF(I66&lt;&gt;"",I66,0))-Q66))</x:f>
      </x:c>
      <x:c r="S66" s="69" t="str">
        <x:f>IF(B66="","",IFERROR(MINIFS(Pagos!$E$6:$E$305,Pagos!$B$6:$B$305,B66,Pagos!$J$6:$J$305,"Pendiente",Pagos!$E$6:$E$305,"&gt;="&amp;TODAY()),""))</x:f>
      </x:c>
      <x:c r="T66" s="61" t="str">
        <x:f>IF(B66="","",IF(COUNTIFS(Pagos!$B$6:$B$305,B66,Pagos!$J$6:$J$305,"Pendiente",Pagos!$E$6:$E$305,"&lt;"&amp;TODAY())&gt;0,"Vencido",IF(Q66=0,"Sin pagos",IF(R66=0,"Pagado","Pago parcial"))))</x:f>
      </x:c>
      <x:c r="U66" s="87" t="str">
        <x:f>IF(B66="","",IF(AND(M66="Cotizado",J66&lt;&gt;""),"⚠ Quitá Precio contratado o cambiá Estado",IF(AND(OR(M66="Reservado",M66="Contratado",M66="Finalizado"),J66=""),"⚠ Falta Precio contratado","✓ OK")))</x:f>
      </x:c>
    </x:row>
    <x:row r="67">
      <x:c r="A67" s="61"/>
      <x:c r="B67" s="59"/>
      <x:c r="C67" s="24"/>
      <x:c r="D67" s="59"/>
      <x:c r="E67" s="59"/>
      <x:c r="F67" s="59"/>
      <x:c r="G67" s="59"/>
      <x:c r="H67" s="59"/>
      <x:c r="I67" s="63"/>
      <x:c r="J67" s="63"/>
      <x:c r="K67" s="24"/>
      <x:c r="L67" s="65"/>
      <x:c r="M67" s="24"/>
      <x:c r="N67" s="24"/>
      <x:c r="O67" s="59"/>
      <x:c r="P67" s="71"/>
      <x:c r="Q67" s="67" t="str">
        <x:f>IF(B67="","",SUMIFS(Pagos!$G$6:$G$305,Pagos!$B$6:$B$305,B67,Pagos!$J$6:$J$305,"Pagado"))</x:f>
      </x:c>
      <x:c r="R67" s="67" t="str">
        <x:f>IF(B67="","",MAX(0,IF(J67&lt;&gt;"",J67,IF(I67&lt;&gt;"",I67,0))-Q67))</x:f>
      </x:c>
      <x:c r="S67" s="69" t="str">
        <x:f>IF(B67="","",IFERROR(MINIFS(Pagos!$E$6:$E$305,Pagos!$B$6:$B$305,B67,Pagos!$J$6:$J$305,"Pendiente",Pagos!$E$6:$E$305,"&gt;="&amp;TODAY()),""))</x:f>
      </x:c>
      <x:c r="T67" s="61" t="str">
        <x:f>IF(B67="","",IF(COUNTIFS(Pagos!$B$6:$B$305,B67,Pagos!$J$6:$J$305,"Pendiente",Pagos!$E$6:$E$305,"&lt;"&amp;TODAY())&gt;0,"Vencido",IF(Q67=0,"Sin pagos",IF(R67=0,"Pagado","Pago parcial"))))</x:f>
      </x:c>
      <x:c r="U67" s="87" t="str">
        <x:f>IF(B67="","",IF(AND(M67="Cotizado",J67&lt;&gt;""),"⚠ Quitá Precio contratado o cambiá Estado",IF(AND(OR(M67="Reservado",M67="Contratado",M67="Finalizado"),J67=""),"⚠ Falta Precio contratado","✓ OK")))</x:f>
      </x:c>
    </x:row>
    <x:row r="68">
      <x:c r="A68" s="61"/>
      <x:c r="B68" s="59"/>
      <x:c r="C68" s="24"/>
      <x:c r="D68" s="59"/>
      <x:c r="E68" s="59"/>
      <x:c r="F68" s="59"/>
      <x:c r="G68" s="59"/>
      <x:c r="H68" s="59"/>
      <x:c r="I68" s="63"/>
      <x:c r="J68" s="63"/>
      <x:c r="K68" s="24"/>
      <x:c r="L68" s="65"/>
      <x:c r="M68" s="24"/>
      <x:c r="N68" s="24"/>
      <x:c r="O68" s="59"/>
      <x:c r="P68" s="71"/>
      <x:c r="Q68" s="67" t="str">
        <x:f>IF(B68="","",SUMIFS(Pagos!$G$6:$G$305,Pagos!$B$6:$B$305,B68,Pagos!$J$6:$J$305,"Pagado"))</x:f>
      </x:c>
      <x:c r="R68" s="67" t="str">
        <x:f>IF(B68="","",MAX(0,IF(J68&lt;&gt;"",J68,IF(I68&lt;&gt;"",I68,0))-Q68))</x:f>
      </x:c>
      <x:c r="S68" s="69" t="str">
        <x:f>IF(B68="","",IFERROR(MINIFS(Pagos!$E$6:$E$305,Pagos!$B$6:$B$305,B68,Pagos!$J$6:$J$305,"Pendiente",Pagos!$E$6:$E$305,"&gt;="&amp;TODAY()),""))</x:f>
      </x:c>
      <x:c r="T68" s="61" t="str">
        <x:f>IF(B68="","",IF(COUNTIFS(Pagos!$B$6:$B$305,B68,Pagos!$J$6:$J$305,"Pendiente",Pagos!$E$6:$E$305,"&lt;"&amp;TODAY())&gt;0,"Vencido",IF(Q68=0,"Sin pagos",IF(R68=0,"Pagado","Pago parcial"))))</x:f>
      </x:c>
      <x:c r="U68" s="87" t="str">
        <x:f>IF(B68="","",IF(AND(M68="Cotizado",J68&lt;&gt;""),"⚠ Quitá Precio contratado o cambiá Estado",IF(AND(OR(M68="Reservado",M68="Contratado",M68="Finalizado"),J68=""),"⚠ Falta Precio contratado","✓ OK")))</x:f>
      </x:c>
    </x:row>
    <x:row r="69">
      <x:c r="A69" s="61"/>
      <x:c r="B69" s="59"/>
      <x:c r="C69" s="24"/>
      <x:c r="D69" s="59"/>
      <x:c r="E69" s="59"/>
      <x:c r="F69" s="59"/>
      <x:c r="G69" s="59"/>
      <x:c r="H69" s="59"/>
      <x:c r="I69" s="63"/>
      <x:c r="J69" s="63"/>
      <x:c r="K69" s="24"/>
      <x:c r="L69" s="65"/>
      <x:c r="M69" s="24"/>
      <x:c r="N69" s="24"/>
      <x:c r="O69" s="59"/>
      <x:c r="P69" s="71"/>
      <x:c r="Q69" s="67" t="str">
        <x:f>IF(B69="","",SUMIFS(Pagos!$G$6:$G$305,Pagos!$B$6:$B$305,B69,Pagos!$J$6:$J$305,"Pagado"))</x:f>
      </x:c>
      <x:c r="R69" s="67" t="str">
        <x:f>IF(B69="","",MAX(0,IF(J69&lt;&gt;"",J69,IF(I69&lt;&gt;"",I69,0))-Q69))</x:f>
      </x:c>
      <x:c r="S69" s="69" t="str">
        <x:f>IF(B69="","",IFERROR(MINIFS(Pagos!$E$6:$E$305,Pagos!$B$6:$B$305,B69,Pagos!$J$6:$J$305,"Pendiente",Pagos!$E$6:$E$305,"&gt;="&amp;TODAY()),""))</x:f>
      </x:c>
      <x:c r="T69" s="61" t="str">
        <x:f>IF(B69="","",IF(COUNTIFS(Pagos!$B$6:$B$305,B69,Pagos!$J$6:$J$305,"Pendiente",Pagos!$E$6:$E$305,"&lt;"&amp;TODAY())&gt;0,"Vencido",IF(Q69=0,"Sin pagos",IF(R69=0,"Pagado","Pago parcial"))))</x:f>
      </x:c>
      <x:c r="U69" s="87" t="str">
        <x:f>IF(B69="","",IF(AND(M69="Cotizado",J69&lt;&gt;""),"⚠ Quitá Precio contratado o cambiá Estado",IF(AND(OR(M69="Reservado",M69="Contratado",M69="Finalizado"),J69=""),"⚠ Falta Precio contratado","✓ OK")))</x:f>
      </x:c>
    </x:row>
    <x:row r="70">
      <x:c r="A70" s="61"/>
      <x:c r="B70" s="59"/>
      <x:c r="C70" s="24"/>
      <x:c r="D70" s="59"/>
      <x:c r="E70" s="59"/>
      <x:c r="F70" s="59"/>
      <x:c r="G70" s="59"/>
      <x:c r="H70" s="59"/>
      <x:c r="I70" s="63"/>
      <x:c r="J70" s="63"/>
      <x:c r="K70" s="24"/>
      <x:c r="L70" s="65"/>
      <x:c r="M70" s="24"/>
      <x:c r="N70" s="24"/>
      <x:c r="O70" s="59"/>
      <x:c r="P70" s="71"/>
      <x:c r="Q70" s="67" t="str">
        <x:f>IF(B70="","",SUMIFS(Pagos!$G$6:$G$305,Pagos!$B$6:$B$305,B70,Pagos!$J$6:$J$305,"Pagado"))</x:f>
      </x:c>
      <x:c r="R70" s="67" t="str">
        <x:f>IF(B70="","",MAX(0,IF(J70&lt;&gt;"",J70,IF(I70&lt;&gt;"",I70,0))-Q70))</x:f>
      </x:c>
      <x:c r="S70" s="69" t="str">
        <x:f>IF(B70="","",IFERROR(MINIFS(Pagos!$E$6:$E$305,Pagos!$B$6:$B$305,B70,Pagos!$J$6:$J$305,"Pendiente",Pagos!$E$6:$E$305,"&gt;="&amp;TODAY()),""))</x:f>
      </x:c>
      <x:c r="T70" s="61" t="str">
        <x:f>IF(B70="","",IF(COUNTIFS(Pagos!$B$6:$B$305,B70,Pagos!$J$6:$J$305,"Pendiente",Pagos!$E$6:$E$305,"&lt;"&amp;TODAY())&gt;0,"Vencido",IF(Q70=0,"Sin pagos",IF(R70=0,"Pagado","Pago parcial"))))</x:f>
      </x:c>
      <x:c r="U70" s="87" t="str">
        <x:f>IF(B70="","",IF(AND(M70="Cotizado",J70&lt;&gt;""),"⚠ Quitá Precio contratado o cambiá Estado",IF(AND(OR(M70="Reservado",M70="Contratado",M70="Finalizado"),J70=""),"⚠ Falta Precio contratado","✓ OK")))</x:f>
      </x:c>
    </x:row>
    <x:row r="71">
      <x:c r="A71" s="61"/>
      <x:c r="B71" s="59"/>
      <x:c r="C71" s="24"/>
      <x:c r="D71" s="59"/>
      <x:c r="E71" s="59"/>
      <x:c r="F71" s="59"/>
      <x:c r="G71" s="59"/>
      <x:c r="H71" s="59"/>
      <x:c r="I71" s="63"/>
      <x:c r="J71" s="63"/>
      <x:c r="K71" s="24"/>
      <x:c r="L71" s="65"/>
      <x:c r="M71" s="24"/>
      <x:c r="N71" s="24"/>
      <x:c r="O71" s="59"/>
      <x:c r="P71" s="71"/>
      <x:c r="Q71" s="67" t="str">
        <x:f>IF(B71="","",SUMIFS(Pagos!$G$6:$G$305,Pagos!$B$6:$B$305,B71,Pagos!$J$6:$J$305,"Pagado"))</x:f>
      </x:c>
      <x:c r="R71" s="67" t="str">
        <x:f>IF(B71="","",MAX(0,IF(J71&lt;&gt;"",J71,IF(I71&lt;&gt;"",I71,0))-Q71))</x:f>
      </x:c>
      <x:c r="S71" s="69" t="str">
        <x:f>IF(B71="","",IFERROR(MINIFS(Pagos!$E$6:$E$305,Pagos!$B$6:$B$305,B71,Pagos!$J$6:$J$305,"Pendiente",Pagos!$E$6:$E$305,"&gt;="&amp;TODAY()),""))</x:f>
      </x:c>
      <x:c r="T71" s="61" t="str">
        <x:f>IF(B71="","",IF(COUNTIFS(Pagos!$B$6:$B$305,B71,Pagos!$J$6:$J$305,"Pendiente",Pagos!$E$6:$E$305,"&lt;"&amp;TODAY())&gt;0,"Vencido",IF(Q71=0,"Sin pagos",IF(R71=0,"Pagado","Pago parcial"))))</x:f>
      </x:c>
      <x:c r="U71" s="87" t="str">
        <x:f>IF(B71="","",IF(AND(M71="Cotizado",J71&lt;&gt;""),"⚠ Quitá Precio contratado o cambiá Estado",IF(AND(OR(M71="Reservado",M71="Contratado",M71="Finalizado"),J71=""),"⚠ Falta Precio contratado","✓ OK")))</x:f>
      </x:c>
    </x:row>
    <x:row r="72">
      <x:c r="A72" s="61"/>
      <x:c r="B72" s="59"/>
      <x:c r="C72" s="24"/>
      <x:c r="D72" s="59"/>
      <x:c r="E72" s="59"/>
      <x:c r="F72" s="59"/>
      <x:c r="G72" s="59"/>
      <x:c r="H72" s="59"/>
      <x:c r="I72" s="63"/>
      <x:c r="J72" s="63"/>
      <x:c r="K72" s="24"/>
      <x:c r="L72" s="65"/>
      <x:c r="M72" s="24"/>
      <x:c r="N72" s="24"/>
      <x:c r="O72" s="59"/>
      <x:c r="P72" s="71"/>
      <x:c r="Q72" s="67" t="str">
        <x:f>IF(B72="","",SUMIFS(Pagos!$G$6:$G$305,Pagos!$B$6:$B$305,B72,Pagos!$J$6:$J$305,"Pagado"))</x:f>
      </x:c>
      <x:c r="R72" s="67" t="str">
        <x:f>IF(B72="","",MAX(0,IF(J72&lt;&gt;"",J72,IF(I72&lt;&gt;"",I72,0))-Q72))</x:f>
      </x:c>
      <x:c r="S72" s="69" t="str">
        <x:f>IF(B72="","",IFERROR(MINIFS(Pagos!$E$6:$E$305,Pagos!$B$6:$B$305,B72,Pagos!$J$6:$J$305,"Pendiente",Pagos!$E$6:$E$305,"&gt;="&amp;TODAY()),""))</x:f>
      </x:c>
      <x:c r="T72" s="61" t="str">
        <x:f>IF(B72="","",IF(COUNTIFS(Pagos!$B$6:$B$305,B72,Pagos!$J$6:$J$305,"Pendiente",Pagos!$E$6:$E$305,"&lt;"&amp;TODAY())&gt;0,"Vencido",IF(Q72=0,"Sin pagos",IF(R72=0,"Pagado","Pago parcial"))))</x:f>
      </x:c>
      <x:c r="U72" s="87" t="str">
        <x:f>IF(B72="","",IF(AND(M72="Cotizado",J72&lt;&gt;""),"⚠ Quitá Precio contratado o cambiá Estado",IF(AND(OR(M72="Reservado",M72="Contratado",M72="Finalizado"),J72=""),"⚠ Falta Precio contratado","✓ OK")))</x:f>
      </x:c>
    </x:row>
    <x:row r="73">
      <x:c r="A73" s="61"/>
      <x:c r="B73" s="59"/>
      <x:c r="C73" s="24"/>
      <x:c r="D73" s="59"/>
      <x:c r="E73" s="59"/>
      <x:c r="F73" s="59"/>
      <x:c r="G73" s="59"/>
      <x:c r="H73" s="59"/>
      <x:c r="I73" s="63"/>
      <x:c r="J73" s="63"/>
      <x:c r="K73" s="24"/>
      <x:c r="L73" s="65"/>
      <x:c r="M73" s="24"/>
      <x:c r="N73" s="24"/>
      <x:c r="O73" s="59"/>
      <x:c r="P73" s="71"/>
      <x:c r="Q73" s="67" t="str">
        <x:f>IF(B73="","",SUMIFS(Pagos!$G$6:$G$305,Pagos!$B$6:$B$305,B73,Pagos!$J$6:$J$305,"Pagado"))</x:f>
      </x:c>
      <x:c r="R73" s="67" t="str">
        <x:f>IF(B73="","",MAX(0,IF(J73&lt;&gt;"",J73,IF(I73&lt;&gt;"",I73,0))-Q73))</x:f>
      </x:c>
      <x:c r="S73" s="69" t="str">
        <x:f>IF(B73="","",IFERROR(MINIFS(Pagos!$E$6:$E$305,Pagos!$B$6:$B$305,B73,Pagos!$J$6:$J$305,"Pendiente",Pagos!$E$6:$E$305,"&gt;="&amp;TODAY()),""))</x:f>
      </x:c>
      <x:c r="T73" s="61" t="str">
        <x:f>IF(B73="","",IF(COUNTIFS(Pagos!$B$6:$B$305,B73,Pagos!$J$6:$J$305,"Pendiente",Pagos!$E$6:$E$305,"&lt;"&amp;TODAY())&gt;0,"Vencido",IF(Q73=0,"Sin pagos",IF(R73=0,"Pagado","Pago parcial"))))</x:f>
      </x:c>
      <x:c r="U73" s="87" t="str">
        <x:f>IF(B73="","",IF(AND(M73="Cotizado",J73&lt;&gt;""),"⚠ Quitá Precio contratado o cambiá Estado",IF(AND(OR(M73="Reservado",M73="Contratado",M73="Finalizado"),J73=""),"⚠ Falta Precio contratado","✓ OK")))</x:f>
      </x:c>
    </x:row>
    <x:row r="74">
      <x:c r="A74" s="61"/>
      <x:c r="B74" s="59"/>
      <x:c r="C74" s="24"/>
      <x:c r="D74" s="59"/>
      <x:c r="E74" s="59"/>
      <x:c r="F74" s="59"/>
      <x:c r="G74" s="59"/>
      <x:c r="H74" s="59"/>
      <x:c r="I74" s="63"/>
      <x:c r="J74" s="63"/>
      <x:c r="K74" s="24"/>
      <x:c r="L74" s="65"/>
      <x:c r="M74" s="24"/>
      <x:c r="N74" s="24"/>
      <x:c r="O74" s="59"/>
      <x:c r="P74" s="71"/>
      <x:c r="Q74" s="67" t="str">
        <x:f>IF(B74="","",SUMIFS(Pagos!$G$6:$G$305,Pagos!$B$6:$B$305,B74,Pagos!$J$6:$J$305,"Pagado"))</x:f>
      </x:c>
      <x:c r="R74" s="67" t="str">
        <x:f>IF(B74="","",MAX(0,IF(J74&lt;&gt;"",J74,IF(I74&lt;&gt;"",I74,0))-Q74))</x:f>
      </x:c>
      <x:c r="S74" s="69" t="str">
        <x:f>IF(B74="","",IFERROR(MINIFS(Pagos!$E$6:$E$305,Pagos!$B$6:$B$305,B74,Pagos!$J$6:$J$305,"Pendiente",Pagos!$E$6:$E$305,"&gt;="&amp;TODAY()),""))</x:f>
      </x:c>
      <x:c r="T74" s="61" t="str">
        <x:f>IF(B74="","",IF(COUNTIFS(Pagos!$B$6:$B$305,B74,Pagos!$J$6:$J$305,"Pendiente",Pagos!$E$6:$E$305,"&lt;"&amp;TODAY())&gt;0,"Vencido",IF(Q74=0,"Sin pagos",IF(R74=0,"Pagado","Pago parcial"))))</x:f>
      </x:c>
      <x:c r="U74" s="87" t="str">
        <x:f>IF(B74="","",IF(AND(M74="Cotizado",J74&lt;&gt;""),"⚠ Quitá Precio contratado o cambiá Estado",IF(AND(OR(M74="Reservado",M74="Contratado",M74="Finalizado"),J74=""),"⚠ Falta Precio contratado","✓ OK")))</x:f>
      </x:c>
    </x:row>
    <x:row r="75">
      <x:c r="A75" s="61"/>
      <x:c r="B75" s="59"/>
      <x:c r="C75" s="24"/>
      <x:c r="D75" s="59"/>
      <x:c r="E75" s="59"/>
      <x:c r="F75" s="59"/>
      <x:c r="G75" s="59"/>
      <x:c r="H75" s="59"/>
      <x:c r="I75" s="63"/>
      <x:c r="J75" s="63"/>
      <x:c r="K75" s="24"/>
      <x:c r="L75" s="65"/>
      <x:c r="M75" s="24"/>
      <x:c r="N75" s="24"/>
      <x:c r="O75" s="59"/>
      <x:c r="P75" s="71"/>
      <x:c r="Q75" s="67" t="str">
        <x:f>IF(B75="","",SUMIFS(Pagos!$G$6:$G$305,Pagos!$B$6:$B$305,B75,Pagos!$J$6:$J$305,"Pagado"))</x:f>
      </x:c>
      <x:c r="R75" s="67" t="str">
        <x:f>IF(B75="","",MAX(0,IF(J75&lt;&gt;"",J75,IF(I75&lt;&gt;"",I75,0))-Q75))</x:f>
      </x:c>
      <x:c r="S75" s="69" t="str">
        <x:f>IF(B75="","",IFERROR(MINIFS(Pagos!$E$6:$E$305,Pagos!$B$6:$B$305,B75,Pagos!$J$6:$J$305,"Pendiente",Pagos!$E$6:$E$305,"&gt;="&amp;TODAY()),""))</x:f>
      </x:c>
      <x:c r="T75" s="61" t="str">
        <x:f>IF(B75="","",IF(COUNTIFS(Pagos!$B$6:$B$305,B75,Pagos!$J$6:$J$305,"Pendiente",Pagos!$E$6:$E$305,"&lt;"&amp;TODAY())&gt;0,"Vencido",IF(Q75=0,"Sin pagos",IF(R75=0,"Pagado","Pago parcial"))))</x:f>
      </x:c>
      <x:c r="U75" s="87" t="str">
        <x:f>IF(B75="","",IF(AND(M75="Cotizado",J75&lt;&gt;""),"⚠ Quitá Precio contratado o cambiá Estado",IF(AND(OR(M75="Reservado",M75="Contratado",M75="Finalizado"),J75=""),"⚠ Falta Precio contratado","✓ OK")))</x:f>
      </x:c>
    </x:row>
    <x:row r="76">
      <x:c r="A76" s="61"/>
      <x:c r="B76" s="59"/>
      <x:c r="C76" s="24"/>
      <x:c r="D76" s="59"/>
      <x:c r="E76" s="59"/>
      <x:c r="F76" s="59"/>
      <x:c r="G76" s="59"/>
      <x:c r="H76" s="59"/>
      <x:c r="I76" s="63"/>
      <x:c r="J76" s="63"/>
      <x:c r="K76" s="24"/>
      <x:c r="L76" s="65"/>
      <x:c r="M76" s="24"/>
      <x:c r="N76" s="24"/>
      <x:c r="O76" s="59"/>
      <x:c r="P76" s="71"/>
      <x:c r="Q76" s="67" t="str">
        <x:f>IF(B76="","",SUMIFS(Pagos!$G$6:$G$305,Pagos!$B$6:$B$305,B76,Pagos!$J$6:$J$305,"Pagado"))</x:f>
      </x:c>
      <x:c r="R76" s="67" t="str">
        <x:f>IF(B76="","",MAX(0,IF(J76&lt;&gt;"",J76,IF(I76&lt;&gt;"",I76,0))-Q76))</x:f>
      </x:c>
      <x:c r="S76" s="69" t="str">
        <x:f>IF(B76="","",IFERROR(MINIFS(Pagos!$E$6:$E$305,Pagos!$B$6:$B$305,B76,Pagos!$J$6:$J$305,"Pendiente",Pagos!$E$6:$E$305,"&gt;="&amp;TODAY()),""))</x:f>
      </x:c>
      <x:c r="T76" s="61" t="str">
        <x:f>IF(B76="","",IF(COUNTIFS(Pagos!$B$6:$B$305,B76,Pagos!$J$6:$J$305,"Pendiente",Pagos!$E$6:$E$305,"&lt;"&amp;TODAY())&gt;0,"Vencido",IF(Q76=0,"Sin pagos",IF(R76=0,"Pagado","Pago parcial"))))</x:f>
      </x:c>
      <x:c r="U76" s="87" t="str">
        <x:f>IF(B76="","",IF(AND(M76="Cotizado",J76&lt;&gt;""),"⚠ Quitá Precio contratado o cambiá Estado",IF(AND(OR(M76="Reservado",M76="Contratado",M76="Finalizado"),J76=""),"⚠ Falta Precio contratado","✓ OK")))</x:f>
      </x:c>
    </x:row>
    <x:row r="77">
      <x:c r="A77" s="61"/>
      <x:c r="B77" s="59"/>
      <x:c r="C77" s="24"/>
      <x:c r="D77" s="59"/>
      <x:c r="E77" s="59"/>
      <x:c r="F77" s="59"/>
      <x:c r="G77" s="59"/>
      <x:c r="H77" s="59"/>
      <x:c r="I77" s="63"/>
      <x:c r="J77" s="63"/>
      <x:c r="K77" s="24"/>
      <x:c r="L77" s="65"/>
      <x:c r="M77" s="24"/>
      <x:c r="N77" s="24"/>
      <x:c r="O77" s="59"/>
      <x:c r="P77" s="71"/>
      <x:c r="Q77" s="67" t="str">
        <x:f>IF(B77="","",SUMIFS(Pagos!$G$6:$G$305,Pagos!$B$6:$B$305,B77,Pagos!$J$6:$J$305,"Pagado"))</x:f>
      </x:c>
      <x:c r="R77" s="67" t="str">
        <x:f>IF(B77="","",MAX(0,IF(J77&lt;&gt;"",J77,IF(I77&lt;&gt;"",I77,0))-Q77))</x:f>
      </x:c>
      <x:c r="S77" s="69" t="str">
        <x:f>IF(B77="","",IFERROR(MINIFS(Pagos!$E$6:$E$305,Pagos!$B$6:$B$305,B77,Pagos!$J$6:$J$305,"Pendiente",Pagos!$E$6:$E$305,"&gt;="&amp;TODAY()),""))</x:f>
      </x:c>
      <x:c r="T77" s="61" t="str">
        <x:f>IF(B77="","",IF(COUNTIFS(Pagos!$B$6:$B$305,B77,Pagos!$J$6:$J$305,"Pendiente",Pagos!$E$6:$E$305,"&lt;"&amp;TODAY())&gt;0,"Vencido",IF(Q77=0,"Sin pagos",IF(R77=0,"Pagado","Pago parcial"))))</x:f>
      </x:c>
      <x:c r="U77" s="87" t="str">
        <x:f>IF(B77="","",IF(AND(M77="Cotizado",J77&lt;&gt;""),"⚠ Quitá Precio contratado o cambiá Estado",IF(AND(OR(M77="Reservado",M77="Contratado",M77="Finalizado"),J77=""),"⚠ Falta Precio contratado","✓ OK")))</x:f>
      </x:c>
    </x:row>
    <x:row r="78">
      <x:c r="A78" s="61"/>
      <x:c r="B78" s="59"/>
      <x:c r="C78" s="24"/>
      <x:c r="D78" s="59"/>
      <x:c r="E78" s="59"/>
      <x:c r="F78" s="59"/>
      <x:c r="G78" s="59"/>
      <x:c r="H78" s="59"/>
      <x:c r="I78" s="63"/>
      <x:c r="J78" s="63"/>
      <x:c r="K78" s="24"/>
      <x:c r="L78" s="65"/>
      <x:c r="M78" s="24"/>
      <x:c r="N78" s="24"/>
      <x:c r="O78" s="59"/>
      <x:c r="P78" s="71"/>
      <x:c r="Q78" s="67" t="str">
        <x:f>IF(B78="","",SUMIFS(Pagos!$G$6:$G$305,Pagos!$B$6:$B$305,B78,Pagos!$J$6:$J$305,"Pagado"))</x:f>
      </x:c>
      <x:c r="R78" s="67" t="str">
        <x:f>IF(B78="","",MAX(0,IF(J78&lt;&gt;"",J78,IF(I78&lt;&gt;"",I78,0))-Q78))</x:f>
      </x:c>
      <x:c r="S78" s="69" t="str">
        <x:f>IF(B78="","",IFERROR(MINIFS(Pagos!$E$6:$E$305,Pagos!$B$6:$B$305,B78,Pagos!$J$6:$J$305,"Pendiente",Pagos!$E$6:$E$305,"&gt;="&amp;TODAY()),""))</x:f>
      </x:c>
      <x:c r="T78" s="61" t="str">
        <x:f>IF(B78="","",IF(COUNTIFS(Pagos!$B$6:$B$305,B78,Pagos!$J$6:$J$305,"Pendiente",Pagos!$E$6:$E$305,"&lt;"&amp;TODAY())&gt;0,"Vencido",IF(Q78=0,"Sin pagos",IF(R78=0,"Pagado","Pago parcial"))))</x:f>
      </x:c>
      <x:c r="U78" s="87" t="str">
        <x:f>IF(B78="","",IF(AND(M78="Cotizado",J78&lt;&gt;""),"⚠ Quitá Precio contratado o cambiá Estado",IF(AND(OR(M78="Reservado",M78="Contratado",M78="Finalizado"),J78=""),"⚠ Falta Precio contratado","✓ OK")))</x:f>
      </x:c>
    </x:row>
    <x:row r="79">
      <x:c r="A79" s="61"/>
      <x:c r="B79" s="59"/>
      <x:c r="C79" s="24"/>
      <x:c r="D79" s="59"/>
      <x:c r="E79" s="59"/>
      <x:c r="F79" s="59"/>
      <x:c r="G79" s="59"/>
      <x:c r="H79" s="59"/>
      <x:c r="I79" s="63"/>
      <x:c r="J79" s="63"/>
      <x:c r="K79" s="24"/>
      <x:c r="L79" s="65"/>
      <x:c r="M79" s="24"/>
      <x:c r="N79" s="24"/>
      <x:c r="O79" s="59"/>
      <x:c r="P79" s="71"/>
      <x:c r="Q79" s="67" t="str">
        <x:f>IF(B79="","",SUMIFS(Pagos!$G$6:$G$305,Pagos!$B$6:$B$305,B79,Pagos!$J$6:$J$305,"Pagado"))</x:f>
      </x:c>
      <x:c r="R79" s="67" t="str">
        <x:f>IF(B79="","",MAX(0,IF(J79&lt;&gt;"",J79,IF(I79&lt;&gt;"",I79,0))-Q79))</x:f>
      </x:c>
      <x:c r="S79" s="69" t="str">
        <x:f>IF(B79="","",IFERROR(MINIFS(Pagos!$E$6:$E$305,Pagos!$B$6:$B$305,B79,Pagos!$J$6:$J$305,"Pendiente",Pagos!$E$6:$E$305,"&gt;="&amp;TODAY()),""))</x:f>
      </x:c>
      <x:c r="T79" s="61" t="str">
        <x:f>IF(B79="","",IF(COUNTIFS(Pagos!$B$6:$B$305,B79,Pagos!$J$6:$J$305,"Pendiente",Pagos!$E$6:$E$305,"&lt;"&amp;TODAY())&gt;0,"Vencido",IF(Q79=0,"Sin pagos",IF(R79=0,"Pagado","Pago parcial"))))</x:f>
      </x:c>
      <x:c r="U79" s="87" t="str">
        <x:f>IF(B79="","",IF(AND(M79="Cotizado",J79&lt;&gt;""),"⚠ Quitá Precio contratado o cambiá Estado",IF(AND(OR(M79="Reservado",M79="Contratado",M79="Finalizado"),J79=""),"⚠ Falta Precio contratado","✓ OK")))</x:f>
      </x:c>
    </x:row>
    <x:row r="80">
      <x:c r="A80" s="61"/>
      <x:c r="B80" s="59"/>
      <x:c r="C80" s="24"/>
      <x:c r="D80" s="59"/>
      <x:c r="E80" s="59"/>
      <x:c r="F80" s="59"/>
      <x:c r="G80" s="59"/>
      <x:c r="H80" s="59"/>
      <x:c r="I80" s="63"/>
      <x:c r="J80" s="63"/>
      <x:c r="K80" s="24"/>
      <x:c r="L80" s="65"/>
      <x:c r="M80" s="24"/>
      <x:c r="N80" s="24"/>
      <x:c r="O80" s="59"/>
      <x:c r="P80" s="71"/>
      <x:c r="Q80" s="67" t="str">
        <x:f>IF(B80="","",SUMIFS(Pagos!$G$6:$G$305,Pagos!$B$6:$B$305,B80,Pagos!$J$6:$J$305,"Pagado"))</x:f>
      </x:c>
      <x:c r="R80" s="67" t="str">
        <x:f>IF(B80="","",MAX(0,IF(J80&lt;&gt;"",J80,IF(I80&lt;&gt;"",I80,0))-Q80))</x:f>
      </x:c>
      <x:c r="S80" s="69" t="str">
        <x:f>IF(B80="","",IFERROR(MINIFS(Pagos!$E$6:$E$305,Pagos!$B$6:$B$305,B80,Pagos!$J$6:$J$305,"Pendiente",Pagos!$E$6:$E$305,"&gt;="&amp;TODAY()),""))</x:f>
      </x:c>
      <x:c r="T80" s="61" t="str">
        <x:f>IF(B80="","",IF(COUNTIFS(Pagos!$B$6:$B$305,B80,Pagos!$J$6:$J$305,"Pendiente",Pagos!$E$6:$E$305,"&lt;"&amp;TODAY())&gt;0,"Vencido",IF(Q80=0,"Sin pagos",IF(R80=0,"Pagado","Pago parcial"))))</x:f>
      </x:c>
      <x:c r="U80" s="87" t="str">
        <x:f>IF(B80="","",IF(AND(M80="Cotizado",J80&lt;&gt;""),"⚠ Quitá Precio contratado o cambiá Estado",IF(AND(OR(M80="Reservado",M80="Contratado",M80="Finalizado"),J80=""),"⚠ Falta Precio contratado","✓ OK")))</x:f>
      </x:c>
    </x:row>
    <x:row r="81">
      <x:c r="A81" s="61"/>
      <x:c r="B81" s="59"/>
      <x:c r="C81" s="24"/>
      <x:c r="D81" s="59"/>
      <x:c r="E81" s="59"/>
      <x:c r="F81" s="59"/>
      <x:c r="G81" s="59"/>
      <x:c r="H81" s="59"/>
      <x:c r="I81" s="63"/>
      <x:c r="J81" s="63"/>
      <x:c r="K81" s="24"/>
      <x:c r="L81" s="65"/>
      <x:c r="M81" s="24"/>
      <x:c r="N81" s="24"/>
      <x:c r="O81" s="59"/>
      <x:c r="P81" s="71"/>
      <x:c r="Q81" s="67" t="str">
        <x:f>IF(B81="","",SUMIFS(Pagos!$G$6:$G$305,Pagos!$B$6:$B$305,B81,Pagos!$J$6:$J$305,"Pagado"))</x:f>
      </x:c>
      <x:c r="R81" s="67" t="str">
        <x:f>IF(B81="","",MAX(0,IF(J81&lt;&gt;"",J81,IF(I81&lt;&gt;"",I81,0))-Q81))</x:f>
      </x:c>
      <x:c r="S81" s="69" t="str">
        <x:f>IF(B81="","",IFERROR(MINIFS(Pagos!$E$6:$E$305,Pagos!$B$6:$B$305,B81,Pagos!$J$6:$J$305,"Pendiente",Pagos!$E$6:$E$305,"&gt;="&amp;TODAY()),""))</x:f>
      </x:c>
      <x:c r="T81" s="61" t="str">
        <x:f>IF(B81="","",IF(COUNTIFS(Pagos!$B$6:$B$305,B81,Pagos!$J$6:$J$305,"Pendiente",Pagos!$E$6:$E$305,"&lt;"&amp;TODAY())&gt;0,"Vencido",IF(Q81=0,"Sin pagos",IF(R81=0,"Pagado","Pago parcial"))))</x:f>
      </x:c>
      <x:c r="U81" s="87" t="str">
        <x:f>IF(B81="","",IF(AND(M81="Cotizado",J81&lt;&gt;""),"⚠ Quitá Precio contratado o cambiá Estado",IF(AND(OR(M81="Reservado",M81="Contratado",M81="Finalizado"),J81=""),"⚠ Falta Precio contratado","✓ OK")))</x:f>
      </x:c>
    </x:row>
    <x:row r="82">
      <x:c r="A82" s="61"/>
      <x:c r="B82" s="59"/>
      <x:c r="C82" s="24"/>
      <x:c r="D82" s="59"/>
      <x:c r="E82" s="59"/>
      <x:c r="F82" s="59"/>
      <x:c r="G82" s="59"/>
      <x:c r="H82" s="59"/>
      <x:c r="I82" s="63"/>
      <x:c r="J82" s="63"/>
      <x:c r="K82" s="24"/>
      <x:c r="L82" s="65"/>
      <x:c r="M82" s="24"/>
      <x:c r="N82" s="24"/>
      <x:c r="O82" s="59"/>
      <x:c r="P82" s="71"/>
      <x:c r="Q82" s="67" t="str">
        <x:f>IF(B82="","",SUMIFS(Pagos!$G$6:$G$305,Pagos!$B$6:$B$305,B82,Pagos!$J$6:$J$305,"Pagado"))</x:f>
      </x:c>
      <x:c r="R82" s="67" t="str">
        <x:f>IF(B82="","",MAX(0,IF(J82&lt;&gt;"",J82,IF(I82&lt;&gt;"",I82,0))-Q82))</x:f>
      </x:c>
      <x:c r="S82" s="69" t="str">
        <x:f>IF(B82="","",IFERROR(MINIFS(Pagos!$E$6:$E$305,Pagos!$B$6:$B$305,B82,Pagos!$J$6:$J$305,"Pendiente",Pagos!$E$6:$E$305,"&gt;="&amp;TODAY()),""))</x:f>
      </x:c>
      <x:c r="T82" s="61" t="str">
        <x:f>IF(B82="","",IF(COUNTIFS(Pagos!$B$6:$B$305,B82,Pagos!$J$6:$J$305,"Pendiente",Pagos!$E$6:$E$305,"&lt;"&amp;TODAY())&gt;0,"Vencido",IF(Q82=0,"Sin pagos",IF(R82=0,"Pagado","Pago parcial"))))</x:f>
      </x:c>
      <x:c r="U82" s="87" t="str">
        <x:f>IF(B82="","",IF(AND(M82="Cotizado",J82&lt;&gt;""),"⚠ Quitá Precio contratado o cambiá Estado",IF(AND(OR(M82="Reservado",M82="Contratado",M82="Finalizado"),J82=""),"⚠ Falta Precio contratado","✓ OK")))</x:f>
      </x:c>
    </x:row>
    <x:row r="83">
      <x:c r="A83" s="61"/>
      <x:c r="B83" s="59"/>
      <x:c r="C83" s="24"/>
      <x:c r="D83" s="59"/>
      <x:c r="E83" s="59"/>
      <x:c r="F83" s="59"/>
      <x:c r="G83" s="59"/>
      <x:c r="H83" s="59"/>
      <x:c r="I83" s="63"/>
      <x:c r="J83" s="63"/>
      <x:c r="K83" s="24"/>
      <x:c r="L83" s="65"/>
      <x:c r="M83" s="24"/>
      <x:c r="N83" s="24"/>
      <x:c r="O83" s="59"/>
      <x:c r="P83" s="71"/>
      <x:c r="Q83" s="67" t="str">
        <x:f>IF(B83="","",SUMIFS(Pagos!$G$6:$G$305,Pagos!$B$6:$B$305,B83,Pagos!$J$6:$J$305,"Pagado"))</x:f>
      </x:c>
      <x:c r="R83" s="67" t="str">
        <x:f>IF(B83="","",MAX(0,IF(J83&lt;&gt;"",J83,IF(I83&lt;&gt;"",I83,0))-Q83))</x:f>
      </x:c>
      <x:c r="S83" s="69" t="str">
        <x:f>IF(B83="","",IFERROR(MINIFS(Pagos!$E$6:$E$305,Pagos!$B$6:$B$305,B83,Pagos!$J$6:$J$305,"Pendiente",Pagos!$E$6:$E$305,"&gt;="&amp;TODAY()),""))</x:f>
      </x:c>
      <x:c r="T83" s="61" t="str">
        <x:f>IF(B83="","",IF(COUNTIFS(Pagos!$B$6:$B$305,B83,Pagos!$J$6:$J$305,"Pendiente",Pagos!$E$6:$E$305,"&lt;"&amp;TODAY())&gt;0,"Vencido",IF(Q83=0,"Sin pagos",IF(R83=0,"Pagado","Pago parcial"))))</x:f>
      </x:c>
      <x:c r="U83" s="87" t="str">
        <x:f>IF(B83="","",IF(AND(M83="Cotizado",J83&lt;&gt;""),"⚠ Quitá Precio contratado o cambiá Estado",IF(AND(OR(M83="Reservado",M83="Contratado",M83="Finalizado"),J83=""),"⚠ Falta Precio contratado","✓ OK")))</x:f>
      </x:c>
    </x:row>
    <x:row r="84">
      <x:c r="A84" s="61"/>
      <x:c r="B84" s="59"/>
      <x:c r="C84" s="24"/>
      <x:c r="D84" s="59"/>
      <x:c r="E84" s="59"/>
      <x:c r="F84" s="59"/>
      <x:c r="G84" s="59"/>
      <x:c r="H84" s="59"/>
      <x:c r="I84" s="63"/>
      <x:c r="J84" s="63"/>
      <x:c r="K84" s="24"/>
      <x:c r="L84" s="65"/>
      <x:c r="M84" s="24"/>
      <x:c r="N84" s="24"/>
      <x:c r="O84" s="59"/>
      <x:c r="P84" s="71"/>
      <x:c r="Q84" s="67" t="str">
        <x:f>IF(B84="","",SUMIFS(Pagos!$G$6:$G$305,Pagos!$B$6:$B$305,B84,Pagos!$J$6:$J$305,"Pagado"))</x:f>
      </x:c>
      <x:c r="R84" s="67" t="str">
        <x:f>IF(B84="","",MAX(0,IF(J84&lt;&gt;"",J84,IF(I84&lt;&gt;"",I84,0))-Q84))</x:f>
      </x:c>
      <x:c r="S84" s="69" t="str">
        <x:f>IF(B84="","",IFERROR(MINIFS(Pagos!$E$6:$E$305,Pagos!$B$6:$B$305,B84,Pagos!$J$6:$J$305,"Pendiente",Pagos!$E$6:$E$305,"&gt;="&amp;TODAY()),""))</x:f>
      </x:c>
      <x:c r="T84" s="61" t="str">
        <x:f>IF(B84="","",IF(COUNTIFS(Pagos!$B$6:$B$305,B84,Pagos!$J$6:$J$305,"Pendiente",Pagos!$E$6:$E$305,"&lt;"&amp;TODAY())&gt;0,"Vencido",IF(Q84=0,"Sin pagos",IF(R84=0,"Pagado","Pago parcial"))))</x:f>
      </x:c>
      <x:c r="U84" s="87" t="str">
        <x:f>IF(B84="","",IF(AND(M84="Cotizado",J84&lt;&gt;""),"⚠ Quitá Precio contratado o cambiá Estado",IF(AND(OR(M84="Reservado",M84="Contratado",M84="Finalizado"),J84=""),"⚠ Falta Precio contratado","✓ OK")))</x:f>
      </x:c>
    </x:row>
    <x:row r="85">
      <x:c r="A85" s="61"/>
      <x:c r="B85" s="59"/>
      <x:c r="C85" s="24"/>
      <x:c r="D85" s="59"/>
      <x:c r="E85" s="59"/>
      <x:c r="F85" s="59"/>
      <x:c r="G85" s="59"/>
      <x:c r="H85" s="59"/>
      <x:c r="I85" s="63"/>
      <x:c r="J85" s="63"/>
      <x:c r="K85" s="24"/>
      <x:c r="L85" s="65"/>
      <x:c r="M85" s="24"/>
      <x:c r="N85" s="24"/>
      <x:c r="O85" s="59"/>
      <x:c r="P85" s="71"/>
      <x:c r="Q85" s="67" t="str">
        <x:f>IF(B85="","",SUMIFS(Pagos!$G$6:$G$305,Pagos!$B$6:$B$305,B85,Pagos!$J$6:$J$305,"Pagado"))</x:f>
      </x:c>
      <x:c r="R85" s="67" t="str">
        <x:f>IF(B85="","",MAX(0,IF(J85&lt;&gt;"",J85,IF(I85&lt;&gt;"",I85,0))-Q85))</x:f>
      </x:c>
      <x:c r="S85" s="69" t="str">
        <x:f>IF(B85="","",IFERROR(MINIFS(Pagos!$E$6:$E$305,Pagos!$B$6:$B$305,B85,Pagos!$J$6:$J$305,"Pendiente",Pagos!$E$6:$E$305,"&gt;="&amp;TODAY()),""))</x:f>
      </x:c>
      <x:c r="T85" s="61" t="str">
        <x:f>IF(B85="","",IF(COUNTIFS(Pagos!$B$6:$B$305,B85,Pagos!$J$6:$J$305,"Pendiente",Pagos!$E$6:$E$305,"&lt;"&amp;TODAY())&gt;0,"Vencido",IF(Q85=0,"Sin pagos",IF(R85=0,"Pagado","Pago parcial"))))</x:f>
      </x:c>
      <x:c r="U85" s="87" t="str">
        <x:f>IF(B85="","",IF(AND(M85="Cotizado",J85&lt;&gt;""),"⚠ Quitá Precio contratado o cambiá Estado",IF(AND(OR(M85="Reservado",M85="Contratado",M85="Finalizado"),J85=""),"⚠ Falta Precio contratado","✓ OK")))</x:f>
      </x:c>
    </x:row>
    <x:row r="86">
      <x:c r="A86" s="61"/>
      <x:c r="B86" s="59"/>
      <x:c r="C86" s="24"/>
      <x:c r="D86" s="59"/>
      <x:c r="E86" s="59"/>
      <x:c r="F86" s="59"/>
      <x:c r="G86" s="59"/>
      <x:c r="H86" s="59"/>
      <x:c r="I86" s="63"/>
      <x:c r="J86" s="63"/>
      <x:c r="K86" s="24"/>
      <x:c r="L86" s="65"/>
      <x:c r="M86" s="24"/>
      <x:c r="N86" s="24"/>
      <x:c r="O86" s="59"/>
      <x:c r="P86" s="71"/>
      <x:c r="Q86" s="67" t="str">
        <x:f>IF(B86="","",SUMIFS(Pagos!$G$6:$G$305,Pagos!$B$6:$B$305,B86,Pagos!$J$6:$J$305,"Pagado"))</x:f>
      </x:c>
      <x:c r="R86" s="67" t="str">
        <x:f>IF(B86="","",MAX(0,IF(J86&lt;&gt;"",J86,IF(I86&lt;&gt;"",I86,0))-Q86))</x:f>
      </x:c>
      <x:c r="S86" s="69" t="str">
        <x:f>IF(B86="","",IFERROR(MINIFS(Pagos!$E$6:$E$305,Pagos!$B$6:$B$305,B86,Pagos!$J$6:$J$305,"Pendiente",Pagos!$E$6:$E$305,"&gt;="&amp;TODAY()),""))</x:f>
      </x:c>
      <x:c r="T86" s="61" t="str">
        <x:f>IF(B86="","",IF(COUNTIFS(Pagos!$B$6:$B$305,B86,Pagos!$J$6:$J$305,"Pendiente",Pagos!$E$6:$E$305,"&lt;"&amp;TODAY())&gt;0,"Vencido",IF(Q86=0,"Sin pagos",IF(R86=0,"Pagado","Pago parcial"))))</x:f>
      </x:c>
      <x:c r="U86" s="87" t="str">
        <x:f>IF(B86="","",IF(AND(M86="Cotizado",J86&lt;&gt;""),"⚠ Quitá Precio contratado o cambiá Estado",IF(AND(OR(M86="Reservado",M86="Contratado",M86="Finalizado"),J86=""),"⚠ Falta Precio contratado","✓ OK")))</x:f>
      </x:c>
    </x:row>
    <x:row r="87">
      <x:c r="A87" s="61"/>
      <x:c r="B87" s="59"/>
      <x:c r="C87" s="24"/>
      <x:c r="D87" s="59"/>
      <x:c r="E87" s="59"/>
      <x:c r="F87" s="59"/>
      <x:c r="G87" s="59"/>
      <x:c r="H87" s="59"/>
      <x:c r="I87" s="63"/>
      <x:c r="J87" s="63"/>
      <x:c r="K87" s="24"/>
      <x:c r="L87" s="65"/>
      <x:c r="M87" s="24"/>
      <x:c r="N87" s="24"/>
      <x:c r="O87" s="59"/>
      <x:c r="P87" s="71"/>
      <x:c r="Q87" s="67" t="str">
        <x:f>IF(B87="","",SUMIFS(Pagos!$G$6:$G$305,Pagos!$B$6:$B$305,B87,Pagos!$J$6:$J$305,"Pagado"))</x:f>
      </x:c>
      <x:c r="R87" s="67" t="str">
        <x:f>IF(B87="","",MAX(0,IF(J87&lt;&gt;"",J87,IF(I87&lt;&gt;"",I87,0))-Q87))</x:f>
      </x:c>
      <x:c r="S87" s="69" t="str">
        <x:f>IF(B87="","",IFERROR(MINIFS(Pagos!$E$6:$E$305,Pagos!$B$6:$B$305,B87,Pagos!$J$6:$J$305,"Pendiente",Pagos!$E$6:$E$305,"&gt;="&amp;TODAY()),""))</x:f>
      </x:c>
      <x:c r="T87" s="61" t="str">
        <x:f>IF(B87="","",IF(COUNTIFS(Pagos!$B$6:$B$305,B87,Pagos!$J$6:$J$305,"Pendiente",Pagos!$E$6:$E$305,"&lt;"&amp;TODAY())&gt;0,"Vencido",IF(Q87=0,"Sin pagos",IF(R87=0,"Pagado","Pago parcial"))))</x:f>
      </x:c>
      <x:c r="U87" s="87" t="str">
        <x:f>IF(B87="","",IF(AND(M87="Cotizado",J87&lt;&gt;""),"⚠ Quitá Precio contratado o cambiá Estado",IF(AND(OR(M87="Reservado",M87="Contratado",M87="Finalizado"),J87=""),"⚠ Falta Precio contratado","✓ OK")))</x:f>
      </x:c>
    </x:row>
    <x:row r="88">
      <x:c r="A88" s="61"/>
      <x:c r="B88" s="59"/>
      <x:c r="C88" s="24"/>
      <x:c r="D88" s="59"/>
      <x:c r="E88" s="59"/>
      <x:c r="F88" s="59"/>
      <x:c r="G88" s="59"/>
      <x:c r="H88" s="59"/>
      <x:c r="I88" s="63"/>
      <x:c r="J88" s="63"/>
      <x:c r="K88" s="24"/>
      <x:c r="L88" s="65"/>
      <x:c r="M88" s="24"/>
      <x:c r="N88" s="24"/>
      <x:c r="O88" s="59"/>
      <x:c r="P88" s="71"/>
      <x:c r="Q88" s="67" t="str">
        <x:f>IF(B88="","",SUMIFS(Pagos!$G$6:$G$305,Pagos!$B$6:$B$305,B88,Pagos!$J$6:$J$305,"Pagado"))</x:f>
      </x:c>
      <x:c r="R88" s="67" t="str">
        <x:f>IF(B88="","",MAX(0,IF(J88&lt;&gt;"",J88,IF(I88&lt;&gt;"",I88,0))-Q88))</x:f>
      </x:c>
      <x:c r="S88" s="69" t="str">
        <x:f>IF(B88="","",IFERROR(MINIFS(Pagos!$E$6:$E$305,Pagos!$B$6:$B$305,B88,Pagos!$J$6:$J$305,"Pendiente",Pagos!$E$6:$E$305,"&gt;="&amp;TODAY()),""))</x:f>
      </x:c>
      <x:c r="T88" s="61" t="str">
        <x:f>IF(B88="","",IF(COUNTIFS(Pagos!$B$6:$B$305,B88,Pagos!$J$6:$J$305,"Pendiente",Pagos!$E$6:$E$305,"&lt;"&amp;TODAY())&gt;0,"Vencido",IF(Q88=0,"Sin pagos",IF(R88=0,"Pagado","Pago parcial"))))</x:f>
      </x:c>
      <x:c r="U88" s="87" t="str">
        <x:f>IF(B88="","",IF(AND(M88="Cotizado",J88&lt;&gt;""),"⚠ Quitá Precio contratado o cambiá Estado",IF(AND(OR(M88="Reservado",M88="Contratado",M88="Finalizado"),J88=""),"⚠ Falta Precio contratado","✓ OK")))</x:f>
      </x:c>
    </x:row>
    <x:row r="89">
      <x:c r="A89" s="61"/>
      <x:c r="B89" s="59"/>
      <x:c r="C89" s="24"/>
      <x:c r="D89" s="59"/>
      <x:c r="E89" s="59"/>
      <x:c r="F89" s="59"/>
      <x:c r="G89" s="59"/>
      <x:c r="H89" s="59"/>
      <x:c r="I89" s="63"/>
      <x:c r="J89" s="63"/>
      <x:c r="K89" s="24"/>
      <x:c r="L89" s="65"/>
      <x:c r="M89" s="24"/>
      <x:c r="N89" s="24"/>
      <x:c r="O89" s="59"/>
      <x:c r="P89" s="71"/>
      <x:c r="Q89" s="67" t="str">
        <x:f>IF(B89="","",SUMIFS(Pagos!$G$6:$G$305,Pagos!$B$6:$B$305,B89,Pagos!$J$6:$J$305,"Pagado"))</x:f>
      </x:c>
      <x:c r="R89" s="67" t="str">
        <x:f>IF(B89="","",MAX(0,IF(J89&lt;&gt;"",J89,IF(I89&lt;&gt;"",I89,0))-Q89))</x:f>
      </x:c>
      <x:c r="S89" s="69" t="str">
        <x:f>IF(B89="","",IFERROR(MINIFS(Pagos!$E$6:$E$305,Pagos!$B$6:$B$305,B89,Pagos!$J$6:$J$305,"Pendiente",Pagos!$E$6:$E$305,"&gt;="&amp;TODAY()),""))</x:f>
      </x:c>
      <x:c r="T89" s="61" t="str">
        <x:f>IF(B89="","",IF(COUNTIFS(Pagos!$B$6:$B$305,B89,Pagos!$J$6:$J$305,"Pendiente",Pagos!$E$6:$E$305,"&lt;"&amp;TODAY())&gt;0,"Vencido",IF(Q89=0,"Sin pagos",IF(R89=0,"Pagado","Pago parcial"))))</x:f>
      </x:c>
      <x:c r="U89" s="87" t="str">
        <x:f>IF(B89="","",IF(AND(M89="Cotizado",J89&lt;&gt;""),"⚠ Quitá Precio contratado o cambiá Estado",IF(AND(OR(M89="Reservado",M89="Contratado",M89="Finalizado"),J89=""),"⚠ Falta Precio contratado","✓ OK")))</x:f>
      </x:c>
    </x:row>
    <x:row r="90">
      <x:c r="A90" s="61"/>
      <x:c r="B90" s="59"/>
      <x:c r="C90" s="24"/>
      <x:c r="D90" s="59"/>
      <x:c r="E90" s="59"/>
      <x:c r="F90" s="59"/>
      <x:c r="G90" s="59"/>
      <x:c r="H90" s="59"/>
      <x:c r="I90" s="63"/>
      <x:c r="J90" s="63"/>
      <x:c r="K90" s="24"/>
      <x:c r="L90" s="65"/>
      <x:c r="M90" s="24"/>
      <x:c r="N90" s="24"/>
      <x:c r="O90" s="59"/>
      <x:c r="P90" s="71"/>
      <x:c r="Q90" s="67" t="str">
        <x:f>IF(B90="","",SUMIFS(Pagos!$G$6:$G$305,Pagos!$B$6:$B$305,B90,Pagos!$J$6:$J$305,"Pagado"))</x:f>
      </x:c>
      <x:c r="R90" s="67" t="str">
        <x:f>IF(B90="","",MAX(0,IF(J90&lt;&gt;"",J90,IF(I90&lt;&gt;"",I90,0))-Q90))</x:f>
      </x:c>
      <x:c r="S90" s="69" t="str">
        <x:f>IF(B90="","",IFERROR(MINIFS(Pagos!$E$6:$E$305,Pagos!$B$6:$B$305,B90,Pagos!$J$6:$J$305,"Pendiente",Pagos!$E$6:$E$305,"&gt;="&amp;TODAY()),""))</x:f>
      </x:c>
      <x:c r="T90" s="61" t="str">
        <x:f>IF(B90="","",IF(COUNTIFS(Pagos!$B$6:$B$305,B90,Pagos!$J$6:$J$305,"Pendiente",Pagos!$E$6:$E$305,"&lt;"&amp;TODAY())&gt;0,"Vencido",IF(Q90=0,"Sin pagos",IF(R90=0,"Pagado","Pago parcial"))))</x:f>
      </x:c>
      <x:c r="U90" s="87" t="str">
        <x:f>IF(B90="","",IF(AND(M90="Cotizado",J90&lt;&gt;""),"⚠ Quitá Precio contratado o cambiá Estado",IF(AND(OR(M90="Reservado",M90="Contratado",M90="Finalizado"),J90=""),"⚠ Falta Precio contratado","✓ OK")))</x:f>
      </x:c>
    </x:row>
    <x:row r="91">
      <x:c r="A91" s="61"/>
      <x:c r="B91" s="59"/>
      <x:c r="C91" s="24"/>
      <x:c r="D91" s="59"/>
      <x:c r="E91" s="59"/>
      <x:c r="F91" s="59"/>
      <x:c r="G91" s="59"/>
      <x:c r="H91" s="59"/>
      <x:c r="I91" s="63"/>
      <x:c r="J91" s="63"/>
      <x:c r="K91" s="24"/>
      <x:c r="L91" s="65"/>
      <x:c r="M91" s="24"/>
      <x:c r="N91" s="24"/>
      <x:c r="O91" s="59"/>
      <x:c r="P91" s="71"/>
      <x:c r="Q91" s="67" t="str">
        <x:f>IF(B91="","",SUMIFS(Pagos!$G$6:$G$305,Pagos!$B$6:$B$305,B91,Pagos!$J$6:$J$305,"Pagado"))</x:f>
      </x:c>
      <x:c r="R91" s="67" t="str">
        <x:f>IF(B91="","",MAX(0,IF(J91&lt;&gt;"",J91,IF(I91&lt;&gt;"",I91,0))-Q91))</x:f>
      </x:c>
      <x:c r="S91" s="69" t="str">
        <x:f>IF(B91="","",IFERROR(MINIFS(Pagos!$E$6:$E$305,Pagos!$B$6:$B$305,B91,Pagos!$J$6:$J$305,"Pendiente",Pagos!$E$6:$E$305,"&gt;="&amp;TODAY()),""))</x:f>
      </x:c>
      <x:c r="T91" s="61" t="str">
        <x:f>IF(B91="","",IF(COUNTIFS(Pagos!$B$6:$B$305,B91,Pagos!$J$6:$J$305,"Pendiente",Pagos!$E$6:$E$305,"&lt;"&amp;TODAY())&gt;0,"Vencido",IF(Q91=0,"Sin pagos",IF(R91=0,"Pagado","Pago parcial"))))</x:f>
      </x:c>
      <x:c r="U91" s="87" t="str">
        <x:f>IF(B91="","",IF(AND(M91="Cotizado",J91&lt;&gt;""),"⚠ Quitá Precio contratado o cambiá Estado",IF(AND(OR(M91="Reservado",M91="Contratado",M91="Finalizado"),J91=""),"⚠ Falta Precio contratado","✓ OK")))</x:f>
      </x:c>
    </x:row>
    <x:row r="92">
      <x:c r="A92" s="61"/>
      <x:c r="B92" s="59"/>
      <x:c r="C92" s="24"/>
      <x:c r="D92" s="59"/>
      <x:c r="E92" s="59"/>
      <x:c r="F92" s="59"/>
      <x:c r="G92" s="59"/>
      <x:c r="H92" s="59"/>
      <x:c r="I92" s="63"/>
      <x:c r="J92" s="63"/>
      <x:c r="K92" s="24"/>
      <x:c r="L92" s="65"/>
      <x:c r="M92" s="24"/>
      <x:c r="N92" s="24"/>
      <x:c r="O92" s="59"/>
      <x:c r="P92" s="71"/>
      <x:c r="Q92" s="67" t="str">
        <x:f>IF(B92="","",SUMIFS(Pagos!$G$6:$G$305,Pagos!$B$6:$B$305,B92,Pagos!$J$6:$J$305,"Pagado"))</x:f>
      </x:c>
      <x:c r="R92" s="67" t="str">
        <x:f>IF(B92="","",MAX(0,IF(J92&lt;&gt;"",J92,IF(I92&lt;&gt;"",I92,0))-Q92))</x:f>
      </x:c>
      <x:c r="S92" s="69" t="str">
        <x:f>IF(B92="","",IFERROR(MINIFS(Pagos!$E$6:$E$305,Pagos!$B$6:$B$305,B92,Pagos!$J$6:$J$305,"Pendiente",Pagos!$E$6:$E$305,"&gt;="&amp;TODAY()),""))</x:f>
      </x:c>
      <x:c r="T92" s="61" t="str">
        <x:f>IF(B92="","",IF(COUNTIFS(Pagos!$B$6:$B$305,B92,Pagos!$J$6:$J$305,"Pendiente",Pagos!$E$6:$E$305,"&lt;"&amp;TODAY())&gt;0,"Vencido",IF(Q92=0,"Sin pagos",IF(R92=0,"Pagado","Pago parcial"))))</x:f>
      </x:c>
      <x:c r="U92" s="87" t="str">
        <x:f>IF(B92="","",IF(AND(M92="Cotizado",J92&lt;&gt;""),"⚠ Quitá Precio contratado o cambiá Estado",IF(AND(OR(M92="Reservado",M92="Contratado",M92="Finalizado"),J92=""),"⚠ Falta Precio contratado","✓ OK")))</x:f>
      </x:c>
    </x:row>
    <x:row r="93">
      <x:c r="A93" s="61"/>
      <x:c r="B93" s="59"/>
      <x:c r="C93" s="24"/>
      <x:c r="D93" s="59"/>
      <x:c r="E93" s="59"/>
      <x:c r="F93" s="59"/>
      <x:c r="G93" s="59"/>
      <x:c r="H93" s="59"/>
      <x:c r="I93" s="63"/>
      <x:c r="J93" s="63"/>
      <x:c r="K93" s="24"/>
      <x:c r="L93" s="65"/>
      <x:c r="M93" s="24"/>
      <x:c r="N93" s="24"/>
      <x:c r="O93" s="59"/>
      <x:c r="P93" s="71"/>
      <x:c r="Q93" s="67" t="str">
        <x:f>IF(B93="","",SUMIFS(Pagos!$G$6:$G$305,Pagos!$B$6:$B$305,B93,Pagos!$J$6:$J$305,"Pagado"))</x:f>
      </x:c>
      <x:c r="R93" s="67" t="str">
        <x:f>IF(B93="","",MAX(0,IF(J93&lt;&gt;"",J93,IF(I93&lt;&gt;"",I93,0))-Q93))</x:f>
      </x:c>
      <x:c r="S93" s="69" t="str">
        <x:f>IF(B93="","",IFERROR(MINIFS(Pagos!$E$6:$E$305,Pagos!$B$6:$B$305,B93,Pagos!$J$6:$J$305,"Pendiente",Pagos!$E$6:$E$305,"&gt;="&amp;TODAY()),""))</x:f>
      </x:c>
      <x:c r="T93" s="61" t="str">
        <x:f>IF(B93="","",IF(COUNTIFS(Pagos!$B$6:$B$305,B93,Pagos!$J$6:$J$305,"Pendiente",Pagos!$E$6:$E$305,"&lt;"&amp;TODAY())&gt;0,"Vencido",IF(Q93=0,"Sin pagos",IF(R93=0,"Pagado","Pago parcial"))))</x:f>
      </x:c>
      <x:c r="U93" s="87" t="str">
        <x:f>IF(B93="","",IF(AND(M93="Cotizado",J93&lt;&gt;""),"⚠ Quitá Precio contratado o cambiá Estado",IF(AND(OR(M93="Reservado",M93="Contratado",M93="Finalizado"),J93=""),"⚠ Falta Precio contratado","✓ OK")))</x:f>
      </x:c>
    </x:row>
    <x:row r="94">
      <x:c r="A94" s="61"/>
      <x:c r="B94" s="59"/>
      <x:c r="C94" s="24"/>
      <x:c r="D94" s="59"/>
      <x:c r="E94" s="59"/>
      <x:c r="F94" s="59"/>
      <x:c r="G94" s="59"/>
      <x:c r="H94" s="59"/>
      <x:c r="I94" s="63"/>
      <x:c r="J94" s="63"/>
      <x:c r="K94" s="24"/>
      <x:c r="L94" s="65"/>
      <x:c r="M94" s="24"/>
      <x:c r="N94" s="24"/>
      <x:c r="O94" s="59"/>
      <x:c r="P94" s="71"/>
      <x:c r="Q94" s="67" t="str">
        <x:f>IF(B94="","",SUMIFS(Pagos!$G$6:$G$305,Pagos!$B$6:$B$305,B94,Pagos!$J$6:$J$305,"Pagado"))</x:f>
      </x:c>
      <x:c r="R94" s="67" t="str">
        <x:f>IF(B94="","",MAX(0,IF(J94&lt;&gt;"",J94,IF(I94&lt;&gt;"",I94,0))-Q94))</x:f>
      </x:c>
      <x:c r="S94" s="69" t="str">
        <x:f>IF(B94="","",IFERROR(MINIFS(Pagos!$E$6:$E$305,Pagos!$B$6:$B$305,B94,Pagos!$J$6:$J$305,"Pendiente",Pagos!$E$6:$E$305,"&gt;="&amp;TODAY()),""))</x:f>
      </x:c>
      <x:c r="T94" s="61" t="str">
        <x:f>IF(B94="","",IF(COUNTIFS(Pagos!$B$6:$B$305,B94,Pagos!$J$6:$J$305,"Pendiente",Pagos!$E$6:$E$305,"&lt;"&amp;TODAY())&gt;0,"Vencido",IF(Q94=0,"Sin pagos",IF(R94=0,"Pagado","Pago parcial"))))</x:f>
      </x:c>
      <x:c r="U94" s="87" t="str">
        <x:f>IF(B94="","",IF(AND(M94="Cotizado",J94&lt;&gt;""),"⚠ Quitá Precio contratado o cambiá Estado",IF(AND(OR(M94="Reservado",M94="Contratado",M94="Finalizado"),J94=""),"⚠ Falta Precio contratado","✓ OK")))</x:f>
      </x:c>
    </x:row>
    <x:row r="95">
      <x:c r="A95" s="61"/>
      <x:c r="B95" s="59"/>
      <x:c r="C95" s="24"/>
      <x:c r="D95" s="59"/>
      <x:c r="E95" s="59"/>
      <x:c r="F95" s="59"/>
      <x:c r="G95" s="59"/>
      <x:c r="H95" s="59"/>
      <x:c r="I95" s="63"/>
      <x:c r="J95" s="63"/>
      <x:c r="K95" s="24"/>
      <x:c r="L95" s="65"/>
      <x:c r="M95" s="24"/>
      <x:c r="N95" s="24"/>
      <x:c r="O95" s="59"/>
      <x:c r="P95" s="71"/>
      <x:c r="Q95" s="67" t="str">
        <x:f>IF(B95="","",SUMIFS(Pagos!$G$6:$G$305,Pagos!$B$6:$B$305,B95,Pagos!$J$6:$J$305,"Pagado"))</x:f>
      </x:c>
      <x:c r="R95" s="67" t="str">
        <x:f>IF(B95="","",MAX(0,IF(J95&lt;&gt;"",J95,IF(I95&lt;&gt;"",I95,0))-Q95))</x:f>
      </x:c>
      <x:c r="S95" s="69" t="str">
        <x:f>IF(B95="","",IFERROR(MINIFS(Pagos!$E$6:$E$305,Pagos!$B$6:$B$305,B95,Pagos!$J$6:$J$305,"Pendiente",Pagos!$E$6:$E$305,"&gt;="&amp;TODAY()),""))</x:f>
      </x:c>
      <x:c r="T95" s="61" t="str">
        <x:f>IF(B95="","",IF(COUNTIFS(Pagos!$B$6:$B$305,B95,Pagos!$J$6:$J$305,"Pendiente",Pagos!$E$6:$E$305,"&lt;"&amp;TODAY())&gt;0,"Vencido",IF(Q95=0,"Sin pagos",IF(R95=0,"Pagado","Pago parcial"))))</x:f>
      </x:c>
      <x:c r="U95" s="87" t="str">
        <x:f>IF(B95="","",IF(AND(M95="Cotizado",J95&lt;&gt;""),"⚠ Quitá Precio contratado o cambiá Estado",IF(AND(OR(M95="Reservado",M95="Contratado",M95="Finalizado"),J95=""),"⚠ Falta Precio contratado","✓ OK")))</x:f>
      </x:c>
    </x:row>
    <x:row r="96">
      <x:c r="A96" s="61"/>
      <x:c r="B96" s="59"/>
      <x:c r="C96" s="24"/>
      <x:c r="D96" s="59"/>
      <x:c r="E96" s="59"/>
      <x:c r="F96" s="59"/>
      <x:c r="G96" s="59"/>
      <x:c r="H96" s="59"/>
      <x:c r="I96" s="63"/>
      <x:c r="J96" s="63"/>
      <x:c r="K96" s="24"/>
      <x:c r="L96" s="65"/>
      <x:c r="M96" s="24"/>
      <x:c r="N96" s="24"/>
      <x:c r="O96" s="59"/>
      <x:c r="P96" s="71"/>
      <x:c r="Q96" s="67" t="str">
        <x:f>IF(B96="","",SUMIFS(Pagos!$G$6:$G$305,Pagos!$B$6:$B$305,B96,Pagos!$J$6:$J$305,"Pagado"))</x:f>
      </x:c>
      <x:c r="R96" s="67" t="str">
        <x:f>IF(B96="","",MAX(0,IF(J96&lt;&gt;"",J96,IF(I96&lt;&gt;"",I96,0))-Q96))</x:f>
      </x:c>
      <x:c r="S96" s="69" t="str">
        <x:f>IF(B96="","",IFERROR(MINIFS(Pagos!$E$6:$E$305,Pagos!$B$6:$B$305,B96,Pagos!$J$6:$J$305,"Pendiente",Pagos!$E$6:$E$305,"&gt;="&amp;TODAY()),""))</x:f>
      </x:c>
      <x:c r="T96" s="61" t="str">
        <x:f>IF(B96="","",IF(COUNTIFS(Pagos!$B$6:$B$305,B96,Pagos!$J$6:$J$305,"Pendiente",Pagos!$E$6:$E$305,"&lt;"&amp;TODAY())&gt;0,"Vencido",IF(Q96=0,"Sin pagos",IF(R96=0,"Pagado","Pago parcial"))))</x:f>
      </x:c>
      <x:c r="U96" s="87" t="str">
        <x:f>IF(B96="","",IF(AND(M96="Cotizado",J96&lt;&gt;""),"⚠ Quitá Precio contratado o cambiá Estado",IF(AND(OR(M96="Reservado",M96="Contratado",M96="Finalizado"),J96=""),"⚠ Falta Precio contratado","✓ OK")))</x:f>
      </x:c>
    </x:row>
    <x:row r="97">
      <x:c r="A97" s="61"/>
      <x:c r="B97" s="59"/>
      <x:c r="C97" s="24"/>
      <x:c r="D97" s="59"/>
      <x:c r="E97" s="59"/>
      <x:c r="F97" s="59"/>
      <x:c r="G97" s="59"/>
      <x:c r="H97" s="59"/>
      <x:c r="I97" s="63"/>
      <x:c r="J97" s="63"/>
      <x:c r="K97" s="24"/>
      <x:c r="L97" s="65"/>
      <x:c r="M97" s="24"/>
      <x:c r="N97" s="24"/>
      <x:c r="O97" s="59"/>
      <x:c r="P97" s="71"/>
      <x:c r="Q97" s="67" t="str">
        <x:f>IF(B97="","",SUMIFS(Pagos!$G$6:$G$305,Pagos!$B$6:$B$305,B97,Pagos!$J$6:$J$305,"Pagado"))</x:f>
      </x:c>
      <x:c r="R97" s="67" t="str">
        <x:f>IF(B97="","",MAX(0,IF(J97&lt;&gt;"",J97,IF(I97&lt;&gt;"",I97,0))-Q97))</x:f>
      </x:c>
      <x:c r="S97" s="69" t="str">
        <x:f>IF(B97="","",IFERROR(MINIFS(Pagos!$E$6:$E$305,Pagos!$B$6:$B$305,B97,Pagos!$J$6:$J$305,"Pendiente",Pagos!$E$6:$E$305,"&gt;="&amp;TODAY()),""))</x:f>
      </x:c>
      <x:c r="T97" s="61" t="str">
        <x:f>IF(B97="","",IF(COUNTIFS(Pagos!$B$6:$B$305,B97,Pagos!$J$6:$J$305,"Pendiente",Pagos!$E$6:$E$305,"&lt;"&amp;TODAY())&gt;0,"Vencido",IF(Q97=0,"Sin pagos",IF(R97=0,"Pagado","Pago parcial"))))</x:f>
      </x:c>
      <x:c r="U97" s="87" t="str">
        <x:f>IF(B97="","",IF(AND(M97="Cotizado",J97&lt;&gt;""),"⚠ Quitá Precio contratado o cambiá Estado",IF(AND(OR(M97="Reservado",M97="Contratado",M97="Finalizado"),J97=""),"⚠ Falta Precio contratado","✓ OK")))</x:f>
      </x:c>
    </x:row>
    <x:row r="98">
      <x:c r="A98" s="61"/>
      <x:c r="B98" s="59"/>
      <x:c r="C98" s="24"/>
      <x:c r="D98" s="59"/>
      <x:c r="E98" s="59"/>
      <x:c r="F98" s="59"/>
      <x:c r="G98" s="59"/>
      <x:c r="H98" s="59"/>
      <x:c r="I98" s="63"/>
      <x:c r="J98" s="63"/>
      <x:c r="K98" s="24"/>
      <x:c r="L98" s="65"/>
      <x:c r="M98" s="24"/>
      <x:c r="N98" s="24"/>
      <x:c r="O98" s="59"/>
      <x:c r="P98" s="71"/>
      <x:c r="Q98" s="67" t="str">
        <x:f>IF(B98="","",SUMIFS(Pagos!$G$6:$G$305,Pagos!$B$6:$B$305,B98,Pagos!$J$6:$J$305,"Pagado"))</x:f>
      </x:c>
      <x:c r="R98" s="67" t="str">
        <x:f>IF(B98="","",MAX(0,IF(J98&lt;&gt;"",J98,IF(I98&lt;&gt;"",I98,0))-Q98))</x:f>
      </x:c>
      <x:c r="S98" s="69" t="str">
        <x:f>IF(B98="","",IFERROR(MINIFS(Pagos!$E$6:$E$305,Pagos!$B$6:$B$305,B98,Pagos!$J$6:$J$305,"Pendiente",Pagos!$E$6:$E$305,"&gt;="&amp;TODAY()),""))</x:f>
      </x:c>
      <x:c r="T98" s="61" t="str">
        <x:f>IF(B98="","",IF(COUNTIFS(Pagos!$B$6:$B$305,B98,Pagos!$J$6:$J$305,"Pendiente",Pagos!$E$6:$E$305,"&lt;"&amp;TODAY())&gt;0,"Vencido",IF(Q98=0,"Sin pagos",IF(R98=0,"Pagado","Pago parcial"))))</x:f>
      </x:c>
      <x:c r="U98" s="87" t="str">
        <x:f>IF(B98="","",IF(AND(M98="Cotizado",J98&lt;&gt;""),"⚠ Quitá Precio contratado o cambiá Estado",IF(AND(OR(M98="Reservado",M98="Contratado",M98="Finalizado"),J98=""),"⚠ Falta Precio contratado","✓ OK")))</x:f>
      </x:c>
    </x:row>
    <x:row r="99">
      <x:c r="A99" s="61"/>
      <x:c r="B99" s="59"/>
      <x:c r="C99" s="24"/>
      <x:c r="D99" s="59"/>
      <x:c r="E99" s="59"/>
      <x:c r="F99" s="59"/>
      <x:c r="G99" s="59"/>
      <x:c r="H99" s="59"/>
      <x:c r="I99" s="63"/>
      <x:c r="J99" s="63"/>
      <x:c r="K99" s="24"/>
      <x:c r="L99" s="65"/>
      <x:c r="M99" s="24"/>
      <x:c r="N99" s="24"/>
      <x:c r="O99" s="59"/>
      <x:c r="P99" s="71"/>
      <x:c r="Q99" s="67" t="str">
        <x:f>IF(B99="","",SUMIFS(Pagos!$G$6:$G$305,Pagos!$B$6:$B$305,B99,Pagos!$J$6:$J$305,"Pagado"))</x:f>
      </x:c>
      <x:c r="R99" s="67" t="str">
        <x:f>IF(B99="","",MAX(0,IF(J99&lt;&gt;"",J99,IF(I99&lt;&gt;"",I99,0))-Q99))</x:f>
      </x:c>
      <x:c r="S99" s="69" t="str">
        <x:f>IF(B99="","",IFERROR(MINIFS(Pagos!$E$6:$E$305,Pagos!$B$6:$B$305,B99,Pagos!$J$6:$J$305,"Pendiente",Pagos!$E$6:$E$305,"&gt;="&amp;TODAY()),""))</x:f>
      </x:c>
      <x:c r="T99" s="61" t="str">
        <x:f>IF(B99="","",IF(COUNTIFS(Pagos!$B$6:$B$305,B99,Pagos!$J$6:$J$305,"Pendiente",Pagos!$E$6:$E$305,"&lt;"&amp;TODAY())&gt;0,"Vencido",IF(Q99=0,"Sin pagos",IF(R99=0,"Pagado","Pago parcial"))))</x:f>
      </x:c>
      <x:c r="U99" s="87" t="str">
        <x:f>IF(B99="","",IF(AND(M99="Cotizado",J99&lt;&gt;""),"⚠ Quitá Precio contratado o cambiá Estado",IF(AND(OR(M99="Reservado",M99="Contratado",M99="Finalizado"),J99=""),"⚠ Falta Precio contratado","✓ OK")))</x:f>
      </x:c>
    </x:row>
    <x:row r="100">
      <x:c r="A100" s="61"/>
      <x:c r="B100" s="59"/>
      <x:c r="C100" s="24"/>
      <x:c r="D100" s="59"/>
      <x:c r="E100" s="59"/>
      <x:c r="F100" s="59"/>
      <x:c r="G100" s="59"/>
      <x:c r="H100" s="59"/>
      <x:c r="I100" s="63"/>
      <x:c r="J100" s="63"/>
      <x:c r="K100" s="24"/>
      <x:c r="L100" s="65"/>
      <x:c r="M100" s="24"/>
      <x:c r="N100" s="24"/>
      <x:c r="O100" s="59"/>
      <x:c r="P100" s="71"/>
      <x:c r="Q100" s="67" t="str">
        <x:f>IF(B100="","",SUMIFS(Pagos!$G$6:$G$305,Pagos!$B$6:$B$305,B100,Pagos!$J$6:$J$305,"Pagado"))</x:f>
      </x:c>
      <x:c r="R100" s="67" t="str">
        <x:f>IF(B100="","",MAX(0,IF(J100&lt;&gt;"",J100,IF(I100&lt;&gt;"",I100,0))-Q100))</x:f>
      </x:c>
      <x:c r="S100" s="69" t="str">
        <x:f>IF(B100="","",IFERROR(MINIFS(Pagos!$E$6:$E$305,Pagos!$B$6:$B$305,B100,Pagos!$J$6:$J$305,"Pendiente",Pagos!$E$6:$E$305,"&gt;="&amp;TODAY()),""))</x:f>
      </x:c>
      <x:c r="T100" s="61" t="str">
        <x:f>IF(B100="","",IF(COUNTIFS(Pagos!$B$6:$B$305,B100,Pagos!$J$6:$J$305,"Pendiente",Pagos!$E$6:$E$305,"&lt;"&amp;TODAY())&gt;0,"Vencido",IF(Q100=0,"Sin pagos",IF(R100=0,"Pagado","Pago parcial"))))</x:f>
      </x:c>
      <x:c r="U100" s="87" t="str">
        <x:f>IF(B100="","",IF(AND(M100="Cotizado",J100&lt;&gt;""),"⚠ Quitá Precio contratado o cambiá Estado",IF(AND(OR(M100="Reservado",M100="Contratado",M100="Finalizado"),J100=""),"⚠ Falta Precio contratado","✓ OK")))</x:f>
      </x:c>
    </x:row>
    <x:row r="101">
      <x:c r="A101" s="61"/>
      <x:c r="B101" s="59"/>
      <x:c r="C101" s="24"/>
      <x:c r="D101" s="59"/>
      <x:c r="E101" s="59"/>
      <x:c r="F101" s="59"/>
      <x:c r="G101" s="59"/>
      <x:c r="H101" s="59"/>
      <x:c r="I101" s="63"/>
      <x:c r="J101" s="63"/>
      <x:c r="K101" s="24"/>
      <x:c r="L101" s="65"/>
      <x:c r="M101" s="24"/>
      <x:c r="N101" s="24"/>
      <x:c r="O101" s="59"/>
      <x:c r="P101" s="71"/>
      <x:c r="Q101" s="67" t="str">
        <x:f>IF(B101="","",SUMIFS(Pagos!$G$6:$G$305,Pagos!$B$6:$B$305,B101,Pagos!$J$6:$J$305,"Pagado"))</x:f>
      </x:c>
      <x:c r="R101" s="67" t="str">
        <x:f>IF(B101="","",MAX(0,IF(J101&lt;&gt;"",J101,IF(I101&lt;&gt;"",I101,0))-Q101))</x:f>
      </x:c>
      <x:c r="S101" s="69" t="str">
        <x:f>IF(B101="","",IFERROR(MINIFS(Pagos!$E$6:$E$305,Pagos!$B$6:$B$305,B101,Pagos!$J$6:$J$305,"Pendiente",Pagos!$E$6:$E$305,"&gt;="&amp;TODAY()),""))</x:f>
      </x:c>
      <x:c r="T101" s="61" t="str">
        <x:f>IF(B101="","",IF(COUNTIFS(Pagos!$B$6:$B$305,B101,Pagos!$J$6:$J$305,"Pendiente",Pagos!$E$6:$E$305,"&lt;"&amp;TODAY())&gt;0,"Vencido",IF(Q101=0,"Sin pagos",IF(R101=0,"Pagado","Pago parcial"))))</x:f>
      </x:c>
      <x:c r="U101" s="87" t="str">
        <x:f>IF(B101="","",IF(AND(M101="Cotizado",J101&lt;&gt;""),"⚠ Quitá Precio contratado o cambiá Estado",IF(AND(OR(M101="Reservado",M101="Contratado",M101="Finalizado"),J101=""),"⚠ Falta Precio contratado","✓ OK")))</x:f>
      </x:c>
    </x:row>
    <x:row r="102">
      <x:c r="A102" s="61"/>
      <x:c r="B102" s="59"/>
      <x:c r="C102" s="24"/>
      <x:c r="D102" s="59"/>
      <x:c r="E102" s="59"/>
      <x:c r="F102" s="59"/>
      <x:c r="G102" s="59"/>
      <x:c r="H102" s="59"/>
      <x:c r="I102" s="63"/>
      <x:c r="J102" s="63"/>
      <x:c r="K102" s="24"/>
      <x:c r="L102" s="65"/>
      <x:c r="M102" s="24"/>
      <x:c r="N102" s="24"/>
      <x:c r="O102" s="59"/>
      <x:c r="P102" s="71"/>
      <x:c r="Q102" s="67" t="str">
        <x:f>IF(B102="","",SUMIFS(Pagos!$G$6:$G$305,Pagos!$B$6:$B$305,B102,Pagos!$J$6:$J$305,"Pagado"))</x:f>
      </x:c>
      <x:c r="R102" s="67" t="str">
        <x:f>IF(B102="","",MAX(0,IF(J102&lt;&gt;"",J102,IF(I102&lt;&gt;"",I102,0))-Q102))</x:f>
      </x:c>
      <x:c r="S102" s="69" t="str">
        <x:f>IF(B102="","",IFERROR(MINIFS(Pagos!$E$6:$E$305,Pagos!$B$6:$B$305,B102,Pagos!$J$6:$J$305,"Pendiente",Pagos!$E$6:$E$305,"&gt;="&amp;TODAY()),""))</x:f>
      </x:c>
      <x:c r="T102" s="61" t="str">
        <x:f>IF(B102="","",IF(COUNTIFS(Pagos!$B$6:$B$305,B102,Pagos!$J$6:$J$305,"Pendiente",Pagos!$E$6:$E$305,"&lt;"&amp;TODAY())&gt;0,"Vencido",IF(Q102=0,"Sin pagos",IF(R102=0,"Pagado","Pago parcial"))))</x:f>
      </x:c>
      <x:c r="U102" s="87" t="str">
        <x:f>IF(B102="","",IF(AND(M102="Cotizado",J102&lt;&gt;""),"⚠ Quitá Precio contratado o cambiá Estado",IF(AND(OR(M102="Reservado",M102="Contratado",M102="Finalizado"),J102=""),"⚠ Falta Precio contratado","✓ OK")))</x:f>
      </x:c>
    </x:row>
    <x:row r="103">
      <x:c r="A103" s="61"/>
      <x:c r="B103" s="59"/>
      <x:c r="C103" s="24"/>
      <x:c r="D103" s="59"/>
      <x:c r="E103" s="59"/>
      <x:c r="F103" s="59"/>
      <x:c r="G103" s="59"/>
      <x:c r="H103" s="59"/>
      <x:c r="I103" s="63"/>
      <x:c r="J103" s="63"/>
      <x:c r="K103" s="24"/>
      <x:c r="L103" s="65"/>
      <x:c r="M103" s="24"/>
      <x:c r="N103" s="24"/>
      <x:c r="O103" s="59"/>
      <x:c r="P103" s="71"/>
      <x:c r="Q103" s="67" t="str">
        <x:f>IF(B103="","",SUMIFS(Pagos!$G$6:$G$305,Pagos!$B$6:$B$305,B103,Pagos!$J$6:$J$305,"Pagado"))</x:f>
      </x:c>
      <x:c r="R103" s="67" t="str">
        <x:f>IF(B103="","",MAX(0,IF(J103&lt;&gt;"",J103,IF(I103&lt;&gt;"",I103,0))-Q103))</x:f>
      </x:c>
      <x:c r="S103" s="69" t="str">
        <x:f>IF(B103="","",IFERROR(MINIFS(Pagos!$E$6:$E$305,Pagos!$B$6:$B$305,B103,Pagos!$J$6:$J$305,"Pendiente",Pagos!$E$6:$E$305,"&gt;="&amp;TODAY()),""))</x:f>
      </x:c>
      <x:c r="T103" s="61" t="str">
        <x:f>IF(B103="","",IF(COUNTIFS(Pagos!$B$6:$B$305,B103,Pagos!$J$6:$J$305,"Pendiente",Pagos!$E$6:$E$305,"&lt;"&amp;TODAY())&gt;0,"Vencido",IF(Q103=0,"Sin pagos",IF(R103=0,"Pagado","Pago parcial"))))</x:f>
      </x:c>
      <x:c r="U103" s="87" t="str">
        <x:f>IF(B103="","",IF(AND(M103="Cotizado",J103&lt;&gt;""),"⚠ Quitá Precio contratado o cambiá Estado",IF(AND(OR(M103="Reservado",M103="Contratado",M103="Finalizado"),J103=""),"⚠ Falta Precio contratado","✓ OK")))</x:f>
      </x:c>
    </x:row>
    <x:row r="104">
      <x:c r="A104" s="61"/>
      <x:c r="B104" s="59"/>
      <x:c r="C104" s="24"/>
      <x:c r="D104" s="59"/>
      <x:c r="E104" s="59"/>
      <x:c r="F104" s="59"/>
      <x:c r="G104" s="59"/>
      <x:c r="H104" s="59"/>
      <x:c r="I104" s="63"/>
      <x:c r="J104" s="63"/>
      <x:c r="K104" s="24"/>
      <x:c r="L104" s="65"/>
      <x:c r="M104" s="24"/>
      <x:c r="N104" s="24"/>
      <x:c r="O104" s="59"/>
      <x:c r="P104" s="71"/>
      <x:c r="Q104" s="67" t="str">
        <x:f>IF(B104="","",SUMIFS(Pagos!$G$6:$G$305,Pagos!$B$6:$B$305,B104,Pagos!$J$6:$J$305,"Pagado"))</x:f>
      </x:c>
      <x:c r="R104" s="67" t="str">
        <x:f>IF(B104="","",MAX(0,IF(J104&lt;&gt;"",J104,IF(I104&lt;&gt;"",I104,0))-Q104))</x:f>
      </x:c>
      <x:c r="S104" s="69" t="str">
        <x:f>IF(B104="","",IFERROR(MINIFS(Pagos!$E$6:$E$305,Pagos!$B$6:$B$305,B104,Pagos!$J$6:$J$305,"Pendiente",Pagos!$E$6:$E$305,"&gt;="&amp;TODAY()),""))</x:f>
      </x:c>
      <x:c r="T104" s="61" t="str">
        <x:f>IF(B104="","",IF(COUNTIFS(Pagos!$B$6:$B$305,B104,Pagos!$J$6:$J$305,"Pendiente",Pagos!$E$6:$E$305,"&lt;"&amp;TODAY())&gt;0,"Vencido",IF(Q104=0,"Sin pagos",IF(R104=0,"Pagado","Pago parcial"))))</x:f>
      </x:c>
      <x:c r="U104" s="87" t="str">
        <x:f>IF(B104="","",IF(AND(M104="Cotizado",J104&lt;&gt;""),"⚠ Quitá Precio contratado o cambiá Estado",IF(AND(OR(M104="Reservado",M104="Contratado",M104="Finalizado"),J104=""),"⚠ Falta Precio contratado","✓ OK")))</x:f>
      </x:c>
    </x:row>
    <x:row r="105">
      <x:c r="A105" s="61"/>
      <x:c r="B105" s="59"/>
      <x:c r="C105" s="24"/>
      <x:c r="D105" s="59"/>
      <x:c r="E105" s="59"/>
      <x:c r="F105" s="59"/>
      <x:c r="G105" s="59"/>
      <x:c r="H105" s="59"/>
      <x:c r="I105" s="63"/>
      <x:c r="J105" s="63"/>
      <x:c r="K105" s="24"/>
      <x:c r="L105" s="65"/>
      <x:c r="M105" s="24"/>
      <x:c r="N105" s="24"/>
      <x:c r="O105" s="59"/>
      <x:c r="P105" s="71"/>
      <x:c r="Q105" s="67" t="str">
        <x:f>IF(B105="","",SUMIFS(Pagos!$G$6:$G$305,Pagos!$B$6:$B$305,B105,Pagos!$J$6:$J$305,"Pagado"))</x:f>
      </x:c>
      <x:c r="R105" s="67" t="str">
        <x:f>IF(B105="","",MAX(0,IF(J105&lt;&gt;"",J105,IF(I105&lt;&gt;"",I105,0))-Q105))</x:f>
      </x:c>
      <x:c r="S105" s="69" t="str">
        <x:f>IF(B105="","",IFERROR(MINIFS(Pagos!$E$6:$E$305,Pagos!$B$6:$B$305,B105,Pagos!$J$6:$J$305,"Pendiente",Pagos!$E$6:$E$305,"&gt;="&amp;TODAY()),""))</x:f>
      </x:c>
      <x:c r="T105" s="61" t="str">
        <x:f>IF(B105="","",IF(COUNTIFS(Pagos!$B$6:$B$305,B105,Pagos!$J$6:$J$305,"Pendiente",Pagos!$E$6:$E$305,"&lt;"&amp;TODAY())&gt;0,"Vencido",IF(Q105=0,"Sin pagos",IF(R105=0,"Pagado","Pago parcial"))))</x:f>
      </x:c>
      <x:c r="U105" s="87" t="str">
        <x:f>IF(B105="","",IF(AND(M105="Cotizado",J105&lt;&gt;""),"⚠ Quitá Precio contratado o cambiá Estado",IF(AND(OR(M105="Reservado",M105="Contratado",M105="Finalizado"),J105=""),"⚠ Falta Precio contratado","✓ OK")))</x:f>
      </x:c>
    </x:row>
    <x:row r="106">
      <x:c r="A106" s="61"/>
      <x:c r="B106" s="59"/>
      <x:c r="C106" s="24"/>
      <x:c r="D106" s="59"/>
      <x:c r="E106" s="59"/>
      <x:c r="F106" s="59"/>
      <x:c r="G106" s="59"/>
      <x:c r="H106" s="59"/>
      <x:c r="I106" s="63"/>
      <x:c r="J106" s="63"/>
      <x:c r="K106" s="24"/>
      <x:c r="L106" s="65"/>
      <x:c r="M106" s="24"/>
      <x:c r="N106" s="24"/>
      <x:c r="O106" s="59"/>
      <x:c r="P106" s="71"/>
      <x:c r="Q106" s="67" t="str">
        <x:f>IF(B106="","",SUMIFS(Pagos!$G$6:$G$305,Pagos!$B$6:$B$305,B106,Pagos!$J$6:$J$305,"Pagado"))</x:f>
      </x:c>
      <x:c r="R106" s="67" t="str">
        <x:f>IF(B106="","",MAX(0,IF(J106&lt;&gt;"",J106,IF(I106&lt;&gt;"",I106,0))-Q106))</x:f>
      </x:c>
      <x:c r="S106" s="69" t="str">
        <x:f>IF(B106="","",IFERROR(MINIFS(Pagos!$E$6:$E$305,Pagos!$B$6:$B$305,B106,Pagos!$J$6:$J$305,"Pendiente",Pagos!$E$6:$E$305,"&gt;="&amp;TODAY()),""))</x:f>
      </x:c>
      <x:c r="T106" s="61" t="str">
        <x:f>IF(B106="","",IF(COUNTIFS(Pagos!$B$6:$B$305,B106,Pagos!$J$6:$J$305,"Pendiente",Pagos!$E$6:$E$305,"&lt;"&amp;TODAY())&gt;0,"Vencido",IF(Q106=0,"Sin pagos",IF(R106=0,"Pagado","Pago parcial"))))</x:f>
      </x:c>
      <x:c r="U106" s="87" t="str">
        <x:f>IF(B106="","",IF(AND(M106="Cotizado",J106&lt;&gt;""),"⚠ Quitá Precio contratado o cambiá Estado",IF(AND(OR(M106="Reservado",M106="Contratado",M106="Finalizado"),J106=""),"⚠ Falta Precio contratado","✓ OK")))</x:f>
      </x:c>
    </x:row>
    <x:row r="107">
      <x:c r="A107" s="61"/>
      <x:c r="B107" s="59"/>
      <x:c r="C107" s="24"/>
      <x:c r="D107" s="59"/>
      <x:c r="E107" s="59"/>
      <x:c r="F107" s="59"/>
      <x:c r="G107" s="59"/>
      <x:c r="H107" s="59"/>
      <x:c r="I107" s="63"/>
      <x:c r="J107" s="63"/>
      <x:c r="K107" s="24"/>
      <x:c r="L107" s="65"/>
      <x:c r="M107" s="24"/>
      <x:c r="N107" s="24"/>
      <x:c r="O107" s="59"/>
      <x:c r="P107" s="71"/>
      <x:c r="Q107" s="67" t="str">
        <x:f>IF(B107="","",SUMIFS(Pagos!$G$6:$G$305,Pagos!$B$6:$B$305,B107,Pagos!$J$6:$J$305,"Pagado"))</x:f>
      </x:c>
      <x:c r="R107" s="67" t="str">
        <x:f>IF(B107="","",MAX(0,IF(J107&lt;&gt;"",J107,IF(I107&lt;&gt;"",I107,0))-Q107))</x:f>
      </x:c>
      <x:c r="S107" s="69" t="str">
        <x:f>IF(B107="","",IFERROR(MINIFS(Pagos!$E$6:$E$305,Pagos!$B$6:$B$305,B107,Pagos!$J$6:$J$305,"Pendiente",Pagos!$E$6:$E$305,"&gt;="&amp;TODAY()),""))</x:f>
      </x:c>
      <x:c r="T107" s="61" t="str">
        <x:f>IF(B107="","",IF(COUNTIFS(Pagos!$B$6:$B$305,B107,Pagos!$J$6:$J$305,"Pendiente",Pagos!$E$6:$E$305,"&lt;"&amp;TODAY())&gt;0,"Vencido",IF(Q107=0,"Sin pagos",IF(R107=0,"Pagado","Pago parcial"))))</x:f>
      </x:c>
      <x:c r="U107" s="87" t="str">
        <x:f>IF(B107="","",IF(AND(M107="Cotizado",J107&lt;&gt;""),"⚠ Quitá Precio contratado o cambiá Estado",IF(AND(OR(M107="Reservado",M107="Contratado",M107="Finalizado"),J107=""),"⚠ Falta Precio contratado","✓ OK")))</x:f>
      </x:c>
    </x:row>
    <x:row r="108">
      <x:c r="A108" s="61"/>
      <x:c r="B108" s="59"/>
      <x:c r="C108" s="24"/>
      <x:c r="D108" s="59"/>
      <x:c r="E108" s="59"/>
      <x:c r="F108" s="59"/>
      <x:c r="G108" s="59"/>
      <x:c r="H108" s="59"/>
      <x:c r="I108" s="63"/>
      <x:c r="J108" s="63"/>
      <x:c r="K108" s="24"/>
      <x:c r="L108" s="65"/>
      <x:c r="M108" s="24"/>
      <x:c r="N108" s="24"/>
      <x:c r="O108" s="59"/>
      <x:c r="P108" s="71"/>
      <x:c r="Q108" s="67" t="str">
        <x:f>IF(B108="","",SUMIFS(Pagos!$G$6:$G$305,Pagos!$B$6:$B$305,B108,Pagos!$J$6:$J$305,"Pagado"))</x:f>
      </x:c>
      <x:c r="R108" s="67" t="str">
        <x:f>IF(B108="","",MAX(0,IF(J108&lt;&gt;"",J108,IF(I108&lt;&gt;"",I108,0))-Q108))</x:f>
      </x:c>
      <x:c r="S108" s="69" t="str">
        <x:f>IF(B108="","",IFERROR(MINIFS(Pagos!$E$6:$E$305,Pagos!$B$6:$B$305,B108,Pagos!$J$6:$J$305,"Pendiente",Pagos!$E$6:$E$305,"&gt;="&amp;TODAY()),""))</x:f>
      </x:c>
      <x:c r="T108" s="61" t="str">
        <x:f>IF(B108="","",IF(COUNTIFS(Pagos!$B$6:$B$305,B108,Pagos!$J$6:$J$305,"Pendiente",Pagos!$E$6:$E$305,"&lt;"&amp;TODAY())&gt;0,"Vencido",IF(Q108=0,"Sin pagos",IF(R108=0,"Pagado","Pago parcial"))))</x:f>
      </x:c>
      <x:c r="U108" s="87" t="str">
        <x:f>IF(B108="","",IF(AND(M108="Cotizado",J108&lt;&gt;""),"⚠ Quitá Precio contratado o cambiá Estado",IF(AND(OR(M108="Reservado",M108="Contratado",M108="Finalizado"),J108=""),"⚠ Falta Precio contratado","✓ OK")))</x:f>
      </x:c>
    </x:row>
    <x:row r="109">
      <x:c r="A109" s="61"/>
      <x:c r="B109" s="59"/>
      <x:c r="C109" s="24"/>
      <x:c r="D109" s="59"/>
      <x:c r="E109" s="59"/>
      <x:c r="F109" s="59"/>
      <x:c r="G109" s="59"/>
      <x:c r="H109" s="59"/>
      <x:c r="I109" s="63"/>
      <x:c r="J109" s="63"/>
      <x:c r="K109" s="24"/>
      <x:c r="L109" s="65"/>
      <x:c r="M109" s="24"/>
      <x:c r="N109" s="24"/>
      <x:c r="O109" s="59"/>
      <x:c r="P109" s="71"/>
      <x:c r="Q109" s="67" t="str">
        <x:f>IF(B109="","",SUMIFS(Pagos!$G$6:$G$305,Pagos!$B$6:$B$305,B109,Pagos!$J$6:$J$305,"Pagado"))</x:f>
      </x:c>
      <x:c r="R109" s="67" t="str">
        <x:f>IF(B109="","",MAX(0,IF(J109&lt;&gt;"",J109,IF(I109&lt;&gt;"",I109,0))-Q109))</x:f>
      </x:c>
      <x:c r="S109" s="69" t="str">
        <x:f>IF(B109="","",IFERROR(MINIFS(Pagos!$E$6:$E$305,Pagos!$B$6:$B$305,B109,Pagos!$J$6:$J$305,"Pendiente",Pagos!$E$6:$E$305,"&gt;="&amp;TODAY()),""))</x:f>
      </x:c>
      <x:c r="T109" s="61" t="str">
        <x:f>IF(B109="","",IF(COUNTIFS(Pagos!$B$6:$B$305,B109,Pagos!$J$6:$J$305,"Pendiente",Pagos!$E$6:$E$305,"&lt;"&amp;TODAY())&gt;0,"Vencido",IF(Q109=0,"Sin pagos",IF(R109=0,"Pagado","Pago parcial"))))</x:f>
      </x:c>
      <x:c r="U109" s="87" t="str">
        <x:f>IF(B109="","",IF(AND(M109="Cotizado",J109&lt;&gt;""),"⚠ Quitá Precio contratado o cambiá Estado",IF(AND(OR(M109="Reservado",M109="Contratado",M109="Finalizado"),J109=""),"⚠ Falta Precio contratado","✓ OK")))</x:f>
      </x:c>
    </x:row>
    <x:row r="110">
      <x:c r="A110" s="61"/>
      <x:c r="B110" s="59"/>
      <x:c r="C110" s="24"/>
      <x:c r="D110" s="59"/>
      <x:c r="E110" s="59"/>
      <x:c r="F110" s="59"/>
      <x:c r="G110" s="59"/>
      <x:c r="H110" s="59"/>
      <x:c r="I110" s="63"/>
      <x:c r="J110" s="63"/>
      <x:c r="K110" s="24"/>
      <x:c r="L110" s="65"/>
      <x:c r="M110" s="24"/>
      <x:c r="N110" s="24"/>
      <x:c r="O110" s="59"/>
      <x:c r="P110" s="71"/>
      <x:c r="Q110" s="67" t="str">
        <x:f>IF(B110="","",SUMIFS(Pagos!$G$6:$G$305,Pagos!$B$6:$B$305,B110,Pagos!$J$6:$J$305,"Pagado"))</x:f>
      </x:c>
      <x:c r="R110" s="67" t="str">
        <x:f>IF(B110="","",MAX(0,IF(J110&lt;&gt;"",J110,IF(I110&lt;&gt;"",I110,0))-Q110))</x:f>
      </x:c>
      <x:c r="S110" s="69" t="str">
        <x:f>IF(B110="","",IFERROR(MINIFS(Pagos!$E$6:$E$305,Pagos!$B$6:$B$305,B110,Pagos!$J$6:$J$305,"Pendiente",Pagos!$E$6:$E$305,"&gt;="&amp;TODAY()),""))</x:f>
      </x:c>
      <x:c r="T110" s="61" t="str">
        <x:f>IF(B110="","",IF(COUNTIFS(Pagos!$B$6:$B$305,B110,Pagos!$J$6:$J$305,"Pendiente",Pagos!$E$6:$E$305,"&lt;"&amp;TODAY())&gt;0,"Vencido",IF(Q110=0,"Sin pagos",IF(R110=0,"Pagado","Pago parcial"))))</x:f>
      </x:c>
      <x:c r="U110" s="87" t="str">
        <x:f>IF(B110="","",IF(AND(M110="Cotizado",J110&lt;&gt;""),"⚠ Quitá Precio contratado o cambiá Estado",IF(AND(OR(M110="Reservado",M110="Contratado",M110="Finalizado"),J110=""),"⚠ Falta Precio contratado","✓ OK")))</x:f>
      </x:c>
    </x:row>
    <x:row r="111">
      <x:c r="A111" s="61"/>
      <x:c r="B111" s="59"/>
      <x:c r="C111" s="24"/>
      <x:c r="D111" s="59"/>
      <x:c r="E111" s="59"/>
      <x:c r="F111" s="59"/>
      <x:c r="G111" s="59"/>
      <x:c r="H111" s="59"/>
      <x:c r="I111" s="63"/>
      <x:c r="J111" s="63"/>
      <x:c r="K111" s="24"/>
      <x:c r="L111" s="65"/>
      <x:c r="M111" s="24"/>
      <x:c r="N111" s="24"/>
      <x:c r="O111" s="59"/>
      <x:c r="P111" s="71"/>
      <x:c r="Q111" s="67" t="str">
        <x:f>IF(B111="","",SUMIFS(Pagos!$G$6:$G$305,Pagos!$B$6:$B$305,B111,Pagos!$J$6:$J$305,"Pagado"))</x:f>
      </x:c>
      <x:c r="R111" s="67" t="str">
        <x:f>IF(B111="","",MAX(0,IF(J111&lt;&gt;"",J111,IF(I111&lt;&gt;"",I111,0))-Q111))</x:f>
      </x:c>
      <x:c r="S111" s="69" t="str">
        <x:f>IF(B111="","",IFERROR(MINIFS(Pagos!$E$6:$E$305,Pagos!$B$6:$B$305,B111,Pagos!$J$6:$J$305,"Pendiente",Pagos!$E$6:$E$305,"&gt;="&amp;TODAY()),""))</x:f>
      </x:c>
      <x:c r="T111" s="61" t="str">
        <x:f>IF(B111="","",IF(COUNTIFS(Pagos!$B$6:$B$305,B111,Pagos!$J$6:$J$305,"Pendiente",Pagos!$E$6:$E$305,"&lt;"&amp;TODAY())&gt;0,"Vencido",IF(Q111=0,"Sin pagos",IF(R111=0,"Pagado","Pago parcial"))))</x:f>
      </x:c>
      <x:c r="U111" s="87" t="str">
        <x:f>IF(B111="","",IF(AND(M111="Cotizado",J111&lt;&gt;""),"⚠ Quitá Precio contratado o cambiá Estado",IF(AND(OR(M111="Reservado",M111="Contratado",M111="Finalizado"),J111=""),"⚠ Falta Precio contratado","✓ OK")))</x:f>
      </x:c>
    </x:row>
    <x:row r="112">
      <x:c r="A112" s="61"/>
      <x:c r="B112" s="59"/>
      <x:c r="C112" s="24"/>
      <x:c r="D112" s="59"/>
      <x:c r="E112" s="59"/>
      <x:c r="F112" s="59"/>
      <x:c r="G112" s="59"/>
      <x:c r="H112" s="59"/>
      <x:c r="I112" s="63"/>
      <x:c r="J112" s="63"/>
      <x:c r="K112" s="24"/>
      <x:c r="L112" s="65"/>
      <x:c r="M112" s="24"/>
      <x:c r="N112" s="24"/>
      <x:c r="O112" s="59"/>
      <x:c r="P112" s="71"/>
      <x:c r="Q112" s="67" t="str">
        <x:f>IF(B112="","",SUMIFS(Pagos!$G$6:$G$305,Pagos!$B$6:$B$305,B112,Pagos!$J$6:$J$305,"Pagado"))</x:f>
      </x:c>
      <x:c r="R112" s="67" t="str">
        <x:f>IF(B112="","",MAX(0,IF(J112&lt;&gt;"",J112,IF(I112&lt;&gt;"",I112,0))-Q112))</x:f>
      </x:c>
      <x:c r="S112" s="69" t="str">
        <x:f>IF(B112="","",IFERROR(MINIFS(Pagos!$E$6:$E$305,Pagos!$B$6:$B$305,B112,Pagos!$J$6:$J$305,"Pendiente",Pagos!$E$6:$E$305,"&gt;="&amp;TODAY()),""))</x:f>
      </x:c>
      <x:c r="T112" s="61" t="str">
        <x:f>IF(B112="","",IF(COUNTIFS(Pagos!$B$6:$B$305,B112,Pagos!$J$6:$J$305,"Pendiente",Pagos!$E$6:$E$305,"&lt;"&amp;TODAY())&gt;0,"Vencido",IF(Q112=0,"Sin pagos",IF(R112=0,"Pagado","Pago parcial"))))</x:f>
      </x:c>
      <x:c r="U112" s="87" t="str">
        <x:f>IF(B112="","",IF(AND(M112="Cotizado",J112&lt;&gt;""),"⚠ Quitá Precio contratado o cambiá Estado",IF(AND(OR(M112="Reservado",M112="Contratado",M112="Finalizado"),J112=""),"⚠ Falta Precio contratado","✓ OK")))</x:f>
      </x:c>
    </x:row>
    <x:row r="113">
      <x:c r="A113" s="61"/>
      <x:c r="B113" s="59"/>
      <x:c r="C113" s="24"/>
      <x:c r="D113" s="59"/>
      <x:c r="E113" s="59"/>
      <x:c r="F113" s="59"/>
      <x:c r="G113" s="59"/>
      <x:c r="H113" s="59"/>
      <x:c r="I113" s="63"/>
      <x:c r="J113" s="63"/>
      <x:c r="K113" s="24"/>
      <x:c r="L113" s="65"/>
      <x:c r="M113" s="24"/>
      <x:c r="N113" s="24"/>
      <x:c r="O113" s="59"/>
      <x:c r="P113" s="71"/>
      <x:c r="Q113" s="67" t="str">
        <x:f>IF(B113="","",SUMIFS(Pagos!$G$6:$G$305,Pagos!$B$6:$B$305,B113,Pagos!$J$6:$J$305,"Pagado"))</x:f>
      </x:c>
      <x:c r="R113" s="67" t="str">
        <x:f>IF(B113="","",MAX(0,IF(J113&lt;&gt;"",J113,IF(I113&lt;&gt;"",I113,0))-Q113))</x:f>
      </x:c>
      <x:c r="S113" s="69" t="str">
        <x:f>IF(B113="","",IFERROR(MINIFS(Pagos!$E$6:$E$305,Pagos!$B$6:$B$305,B113,Pagos!$J$6:$J$305,"Pendiente",Pagos!$E$6:$E$305,"&gt;="&amp;TODAY()),""))</x:f>
      </x:c>
      <x:c r="T113" s="61" t="str">
        <x:f>IF(B113="","",IF(COUNTIFS(Pagos!$B$6:$B$305,B113,Pagos!$J$6:$J$305,"Pendiente",Pagos!$E$6:$E$305,"&lt;"&amp;TODAY())&gt;0,"Vencido",IF(Q113=0,"Sin pagos",IF(R113=0,"Pagado","Pago parcial"))))</x:f>
      </x:c>
      <x:c r="U113" s="87" t="str">
        <x:f>IF(B113="","",IF(AND(M113="Cotizado",J113&lt;&gt;""),"⚠ Quitá Precio contratado o cambiá Estado",IF(AND(OR(M113="Reservado",M113="Contratado",M113="Finalizado"),J113=""),"⚠ Falta Precio contratado","✓ OK")))</x:f>
      </x:c>
    </x:row>
    <x:row r="114">
      <x:c r="A114" s="61"/>
      <x:c r="B114" s="59"/>
      <x:c r="C114" s="24"/>
      <x:c r="D114" s="59"/>
      <x:c r="E114" s="59"/>
      <x:c r="F114" s="59"/>
      <x:c r="G114" s="59"/>
      <x:c r="H114" s="59"/>
      <x:c r="I114" s="63"/>
      <x:c r="J114" s="63"/>
      <x:c r="K114" s="24"/>
      <x:c r="L114" s="65"/>
      <x:c r="M114" s="24"/>
      <x:c r="N114" s="24"/>
      <x:c r="O114" s="59"/>
      <x:c r="P114" s="71"/>
      <x:c r="Q114" s="67" t="str">
        <x:f>IF(B114="","",SUMIFS(Pagos!$G$6:$G$305,Pagos!$B$6:$B$305,B114,Pagos!$J$6:$J$305,"Pagado"))</x:f>
      </x:c>
      <x:c r="R114" s="67" t="str">
        <x:f>IF(B114="","",MAX(0,IF(J114&lt;&gt;"",J114,IF(I114&lt;&gt;"",I114,0))-Q114))</x:f>
      </x:c>
      <x:c r="S114" s="69" t="str">
        <x:f>IF(B114="","",IFERROR(MINIFS(Pagos!$E$6:$E$305,Pagos!$B$6:$B$305,B114,Pagos!$J$6:$J$305,"Pendiente",Pagos!$E$6:$E$305,"&gt;="&amp;TODAY()),""))</x:f>
      </x:c>
      <x:c r="T114" s="61" t="str">
        <x:f>IF(B114="","",IF(COUNTIFS(Pagos!$B$6:$B$305,B114,Pagos!$J$6:$J$305,"Pendiente",Pagos!$E$6:$E$305,"&lt;"&amp;TODAY())&gt;0,"Vencido",IF(Q114=0,"Sin pagos",IF(R114=0,"Pagado","Pago parcial"))))</x:f>
      </x:c>
      <x:c r="U114" s="87" t="str">
        <x:f>IF(B114="","",IF(AND(M114="Cotizado",J114&lt;&gt;""),"⚠ Quitá Precio contratado o cambiá Estado",IF(AND(OR(M114="Reservado",M114="Contratado",M114="Finalizado"),J114=""),"⚠ Falta Precio contratado","✓ OK")))</x:f>
      </x:c>
    </x:row>
    <x:row r="115">
      <x:c r="A115" s="61"/>
      <x:c r="B115" s="59"/>
      <x:c r="C115" s="24"/>
      <x:c r="D115" s="59"/>
      <x:c r="E115" s="59"/>
      <x:c r="F115" s="59"/>
      <x:c r="G115" s="59"/>
      <x:c r="H115" s="59"/>
      <x:c r="I115" s="63"/>
      <x:c r="J115" s="63"/>
      <x:c r="K115" s="24"/>
      <x:c r="L115" s="65"/>
      <x:c r="M115" s="24"/>
      <x:c r="N115" s="24"/>
      <x:c r="O115" s="59"/>
      <x:c r="P115" s="71"/>
      <x:c r="Q115" s="67" t="str">
        <x:f>IF(B115="","",SUMIFS(Pagos!$G$6:$G$305,Pagos!$B$6:$B$305,B115,Pagos!$J$6:$J$305,"Pagado"))</x:f>
      </x:c>
      <x:c r="R115" s="67" t="str">
        <x:f>IF(B115="","",MAX(0,IF(J115&lt;&gt;"",J115,IF(I115&lt;&gt;"",I115,0))-Q115))</x:f>
      </x:c>
      <x:c r="S115" s="69" t="str">
        <x:f>IF(B115="","",IFERROR(MINIFS(Pagos!$E$6:$E$305,Pagos!$B$6:$B$305,B115,Pagos!$J$6:$J$305,"Pendiente",Pagos!$E$6:$E$305,"&gt;="&amp;TODAY()),""))</x:f>
      </x:c>
      <x:c r="T115" s="61" t="str">
        <x:f>IF(B115="","",IF(COUNTIFS(Pagos!$B$6:$B$305,B115,Pagos!$J$6:$J$305,"Pendiente",Pagos!$E$6:$E$305,"&lt;"&amp;TODAY())&gt;0,"Vencido",IF(Q115=0,"Sin pagos",IF(R115=0,"Pagado","Pago parcial"))))</x:f>
      </x:c>
      <x:c r="U115" s="87" t="str">
        <x:f>IF(B115="","",IF(AND(M115="Cotizado",J115&lt;&gt;""),"⚠ Quitá Precio contratado o cambiá Estado",IF(AND(OR(M115="Reservado",M115="Contratado",M115="Finalizado"),J115=""),"⚠ Falta Precio contratado","✓ OK")))</x:f>
      </x:c>
    </x:row>
    <x:row r="116">
      <x:c r="A116" s="61"/>
      <x:c r="B116" s="59"/>
      <x:c r="C116" s="24"/>
      <x:c r="D116" s="59"/>
      <x:c r="E116" s="59"/>
      <x:c r="F116" s="59"/>
      <x:c r="G116" s="59"/>
      <x:c r="H116" s="59"/>
      <x:c r="I116" s="63"/>
      <x:c r="J116" s="63"/>
      <x:c r="K116" s="24"/>
      <x:c r="L116" s="65"/>
      <x:c r="M116" s="24"/>
      <x:c r="N116" s="24"/>
      <x:c r="O116" s="59"/>
      <x:c r="P116" s="71"/>
      <x:c r="Q116" s="67" t="str">
        <x:f>IF(B116="","",SUMIFS(Pagos!$G$6:$G$305,Pagos!$B$6:$B$305,B116,Pagos!$J$6:$J$305,"Pagado"))</x:f>
      </x:c>
      <x:c r="R116" s="67" t="str">
        <x:f>IF(B116="","",MAX(0,IF(J116&lt;&gt;"",J116,IF(I116&lt;&gt;"",I116,0))-Q116))</x:f>
      </x:c>
      <x:c r="S116" s="69" t="str">
        <x:f>IF(B116="","",IFERROR(MINIFS(Pagos!$E$6:$E$305,Pagos!$B$6:$B$305,B116,Pagos!$J$6:$J$305,"Pendiente",Pagos!$E$6:$E$305,"&gt;="&amp;TODAY()),""))</x:f>
      </x:c>
      <x:c r="T116" s="61" t="str">
        <x:f>IF(B116="","",IF(COUNTIFS(Pagos!$B$6:$B$305,B116,Pagos!$J$6:$J$305,"Pendiente",Pagos!$E$6:$E$305,"&lt;"&amp;TODAY())&gt;0,"Vencido",IF(Q116=0,"Sin pagos",IF(R116=0,"Pagado","Pago parcial"))))</x:f>
      </x:c>
      <x:c r="U116" s="87" t="str">
        <x:f>IF(B116="","",IF(AND(M116="Cotizado",J116&lt;&gt;""),"⚠ Quitá Precio contratado o cambiá Estado",IF(AND(OR(M116="Reservado",M116="Contratado",M116="Finalizado"),J116=""),"⚠ Falta Precio contratado","✓ OK")))</x:f>
      </x:c>
    </x:row>
    <x:row r="117">
      <x:c r="A117" s="61"/>
      <x:c r="B117" s="59"/>
      <x:c r="C117" s="24"/>
      <x:c r="D117" s="59"/>
      <x:c r="E117" s="59"/>
      <x:c r="F117" s="59"/>
      <x:c r="G117" s="59"/>
      <x:c r="H117" s="59"/>
      <x:c r="I117" s="63"/>
      <x:c r="J117" s="63"/>
      <x:c r="K117" s="24"/>
      <x:c r="L117" s="65"/>
      <x:c r="M117" s="24"/>
      <x:c r="N117" s="24"/>
      <x:c r="O117" s="59"/>
      <x:c r="P117" s="71"/>
      <x:c r="Q117" s="67" t="str">
        <x:f>IF(B117="","",SUMIFS(Pagos!$G$6:$G$305,Pagos!$B$6:$B$305,B117,Pagos!$J$6:$J$305,"Pagado"))</x:f>
      </x:c>
      <x:c r="R117" s="67" t="str">
        <x:f>IF(B117="","",MAX(0,IF(J117&lt;&gt;"",J117,IF(I117&lt;&gt;"",I117,0))-Q117))</x:f>
      </x:c>
      <x:c r="S117" s="69" t="str">
        <x:f>IF(B117="","",IFERROR(MINIFS(Pagos!$E$6:$E$305,Pagos!$B$6:$B$305,B117,Pagos!$J$6:$J$305,"Pendiente",Pagos!$E$6:$E$305,"&gt;="&amp;TODAY()),""))</x:f>
      </x:c>
      <x:c r="T117" s="61" t="str">
        <x:f>IF(B117="","",IF(COUNTIFS(Pagos!$B$6:$B$305,B117,Pagos!$J$6:$J$305,"Pendiente",Pagos!$E$6:$E$305,"&lt;"&amp;TODAY())&gt;0,"Vencido",IF(Q117=0,"Sin pagos",IF(R117=0,"Pagado","Pago parcial"))))</x:f>
      </x:c>
      <x:c r="U117" s="87" t="str">
        <x:f>IF(B117="","",IF(AND(M117="Cotizado",J117&lt;&gt;""),"⚠ Quitá Precio contratado o cambiá Estado",IF(AND(OR(M117="Reservado",M117="Contratado",M117="Finalizado"),J117=""),"⚠ Falta Precio contratado","✓ OK")))</x:f>
      </x:c>
    </x:row>
    <x:row r="118">
      <x:c r="A118" s="61"/>
      <x:c r="B118" s="59"/>
      <x:c r="C118" s="24"/>
      <x:c r="D118" s="59"/>
      <x:c r="E118" s="59"/>
      <x:c r="F118" s="59"/>
      <x:c r="G118" s="59"/>
      <x:c r="H118" s="59"/>
      <x:c r="I118" s="63"/>
      <x:c r="J118" s="63"/>
      <x:c r="K118" s="24"/>
      <x:c r="L118" s="65"/>
      <x:c r="M118" s="24"/>
      <x:c r="N118" s="24"/>
      <x:c r="O118" s="59"/>
      <x:c r="P118" s="71"/>
      <x:c r="Q118" s="67" t="str">
        <x:f>IF(B118="","",SUMIFS(Pagos!$G$6:$G$305,Pagos!$B$6:$B$305,B118,Pagos!$J$6:$J$305,"Pagado"))</x:f>
      </x:c>
      <x:c r="R118" s="67" t="str">
        <x:f>IF(B118="","",MAX(0,IF(J118&lt;&gt;"",J118,IF(I118&lt;&gt;"",I118,0))-Q118))</x:f>
      </x:c>
      <x:c r="S118" s="69" t="str">
        <x:f>IF(B118="","",IFERROR(MINIFS(Pagos!$E$6:$E$305,Pagos!$B$6:$B$305,B118,Pagos!$J$6:$J$305,"Pendiente",Pagos!$E$6:$E$305,"&gt;="&amp;TODAY()),""))</x:f>
      </x:c>
      <x:c r="T118" s="61" t="str">
        <x:f>IF(B118="","",IF(COUNTIFS(Pagos!$B$6:$B$305,B118,Pagos!$J$6:$J$305,"Pendiente",Pagos!$E$6:$E$305,"&lt;"&amp;TODAY())&gt;0,"Vencido",IF(Q118=0,"Sin pagos",IF(R118=0,"Pagado","Pago parcial"))))</x:f>
      </x:c>
      <x:c r="U118" s="87" t="str">
        <x:f>IF(B118="","",IF(AND(M118="Cotizado",J118&lt;&gt;""),"⚠ Quitá Precio contratado o cambiá Estado",IF(AND(OR(M118="Reservado",M118="Contratado",M118="Finalizado"),J118=""),"⚠ Falta Precio contratado","✓ OK")))</x:f>
      </x:c>
    </x:row>
    <x:row r="119">
      <x:c r="A119" s="61"/>
      <x:c r="B119" s="59"/>
      <x:c r="C119" s="24"/>
      <x:c r="D119" s="59"/>
      <x:c r="E119" s="59"/>
      <x:c r="F119" s="59"/>
      <x:c r="G119" s="59"/>
      <x:c r="H119" s="59"/>
      <x:c r="I119" s="63"/>
      <x:c r="J119" s="63"/>
      <x:c r="K119" s="24"/>
      <x:c r="L119" s="65"/>
      <x:c r="M119" s="24"/>
      <x:c r="N119" s="24"/>
      <x:c r="O119" s="59"/>
      <x:c r="P119" s="71"/>
      <x:c r="Q119" s="67" t="str">
        <x:f>IF(B119="","",SUMIFS(Pagos!$G$6:$G$305,Pagos!$B$6:$B$305,B119,Pagos!$J$6:$J$305,"Pagado"))</x:f>
      </x:c>
      <x:c r="R119" s="67" t="str">
        <x:f>IF(B119="","",MAX(0,IF(J119&lt;&gt;"",J119,IF(I119&lt;&gt;"",I119,0))-Q119))</x:f>
      </x:c>
      <x:c r="S119" s="69" t="str">
        <x:f>IF(B119="","",IFERROR(MINIFS(Pagos!$E$6:$E$305,Pagos!$B$6:$B$305,B119,Pagos!$J$6:$J$305,"Pendiente",Pagos!$E$6:$E$305,"&gt;="&amp;TODAY()),""))</x:f>
      </x:c>
      <x:c r="T119" s="61" t="str">
        <x:f>IF(B119="","",IF(COUNTIFS(Pagos!$B$6:$B$305,B119,Pagos!$J$6:$J$305,"Pendiente",Pagos!$E$6:$E$305,"&lt;"&amp;TODAY())&gt;0,"Vencido",IF(Q119=0,"Sin pagos",IF(R119=0,"Pagado","Pago parcial"))))</x:f>
      </x:c>
      <x:c r="U119" s="87" t="str">
        <x:f>IF(B119="","",IF(AND(M119="Cotizado",J119&lt;&gt;""),"⚠ Quitá Precio contratado o cambiá Estado",IF(AND(OR(M119="Reservado",M119="Contratado",M119="Finalizado"),J119=""),"⚠ Falta Precio contratado","✓ OK")))</x:f>
      </x:c>
    </x:row>
    <x:row r="120">
      <x:c r="A120" s="61"/>
      <x:c r="B120" s="59"/>
      <x:c r="C120" s="24"/>
      <x:c r="D120" s="59"/>
      <x:c r="E120" s="59"/>
      <x:c r="F120" s="59"/>
      <x:c r="G120" s="59"/>
      <x:c r="H120" s="59"/>
      <x:c r="I120" s="63"/>
      <x:c r="J120" s="63"/>
      <x:c r="K120" s="24"/>
      <x:c r="L120" s="65"/>
      <x:c r="M120" s="24"/>
      <x:c r="N120" s="24"/>
      <x:c r="O120" s="59"/>
      <x:c r="P120" s="71"/>
      <x:c r="Q120" s="67" t="str">
        <x:f>IF(B120="","",SUMIFS(Pagos!$G$6:$G$305,Pagos!$B$6:$B$305,B120,Pagos!$J$6:$J$305,"Pagado"))</x:f>
      </x:c>
      <x:c r="R120" s="67" t="str">
        <x:f>IF(B120="","",MAX(0,IF(J120&lt;&gt;"",J120,IF(I120&lt;&gt;"",I120,0))-Q120))</x:f>
      </x:c>
      <x:c r="S120" s="69" t="str">
        <x:f>IF(B120="","",IFERROR(MINIFS(Pagos!$E$6:$E$305,Pagos!$B$6:$B$305,B120,Pagos!$J$6:$J$305,"Pendiente",Pagos!$E$6:$E$305,"&gt;="&amp;TODAY()),""))</x:f>
      </x:c>
      <x:c r="T120" s="61" t="str">
        <x:f>IF(B120="","",IF(COUNTIFS(Pagos!$B$6:$B$305,B120,Pagos!$J$6:$J$305,"Pendiente",Pagos!$E$6:$E$305,"&lt;"&amp;TODAY())&gt;0,"Vencido",IF(Q120=0,"Sin pagos",IF(R120=0,"Pagado","Pago parcial"))))</x:f>
      </x:c>
      <x:c r="U120" s="87" t="str">
        <x:f>IF(B120="","",IF(AND(M120="Cotizado",J120&lt;&gt;""),"⚠ Quitá Precio contratado o cambiá Estado",IF(AND(OR(M120="Reservado",M120="Contratado",M120="Finalizado"),J120=""),"⚠ Falta Precio contratado","✓ OK")))</x:f>
      </x:c>
    </x:row>
    <x:row r="121">
      <x:c r="A121" s="61"/>
      <x:c r="B121" s="59"/>
      <x:c r="C121" s="24"/>
      <x:c r="D121" s="59"/>
      <x:c r="E121" s="59"/>
      <x:c r="F121" s="59"/>
      <x:c r="G121" s="59"/>
      <x:c r="H121" s="59"/>
      <x:c r="I121" s="63"/>
      <x:c r="J121" s="63"/>
      <x:c r="K121" s="24"/>
      <x:c r="L121" s="65"/>
      <x:c r="M121" s="24"/>
      <x:c r="N121" s="24"/>
      <x:c r="O121" s="59"/>
      <x:c r="P121" s="71"/>
      <x:c r="Q121" s="67" t="str">
        <x:f>IF(B121="","",SUMIFS(Pagos!$G$6:$G$305,Pagos!$B$6:$B$305,B121,Pagos!$J$6:$J$305,"Pagado"))</x:f>
      </x:c>
      <x:c r="R121" s="67" t="str">
        <x:f>IF(B121="","",MAX(0,IF(J121&lt;&gt;"",J121,IF(I121&lt;&gt;"",I121,0))-Q121))</x:f>
      </x:c>
      <x:c r="S121" s="69" t="str">
        <x:f>IF(B121="","",IFERROR(MINIFS(Pagos!$E$6:$E$305,Pagos!$B$6:$B$305,B121,Pagos!$J$6:$J$305,"Pendiente",Pagos!$E$6:$E$305,"&gt;="&amp;TODAY()),""))</x:f>
      </x:c>
      <x:c r="T121" s="61" t="str">
        <x:f>IF(B121="","",IF(COUNTIFS(Pagos!$B$6:$B$305,B121,Pagos!$J$6:$J$305,"Pendiente",Pagos!$E$6:$E$305,"&lt;"&amp;TODAY())&gt;0,"Vencido",IF(Q121=0,"Sin pagos",IF(R121=0,"Pagado","Pago parcial"))))</x:f>
      </x:c>
      <x:c r="U121" s="87" t="str">
        <x:f>IF(B121="","",IF(AND(M121="Cotizado",J121&lt;&gt;""),"⚠ Quitá Precio contratado o cambiá Estado",IF(AND(OR(M121="Reservado",M121="Contratado",M121="Finalizado"),J121=""),"⚠ Falta Precio contratado","✓ OK")))</x:f>
      </x:c>
    </x:row>
    <x:row r="122">
      <x:c r="A122" s="61"/>
      <x:c r="B122" s="59"/>
      <x:c r="C122" s="24"/>
      <x:c r="D122" s="59"/>
      <x:c r="E122" s="59"/>
      <x:c r="F122" s="59"/>
      <x:c r="G122" s="59"/>
      <x:c r="H122" s="59"/>
      <x:c r="I122" s="63"/>
      <x:c r="J122" s="63"/>
      <x:c r="K122" s="24"/>
      <x:c r="L122" s="65"/>
      <x:c r="M122" s="24"/>
      <x:c r="N122" s="24"/>
      <x:c r="O122" s="59"/>
      <x:c r="P122" s="71"/>
      <x:c r="Q122" s="67" t="str">
        <x:f>IF(B122="","",SUMIFS(Pagos!$G$6:$G$305,Pagos!$B$6:$B$305,B122,Pagos!$J$6:$J$305,"Pagado"))</x:f>
      </x:c>
      <x:c r="R122" s="67" t="str">
        <x:f>IF(B122="","",MAX(0,IF(J122&lt;&gt;"",J122,IF(I122&lt;&gt;"",I122,0))-Q122))</x:f>
      </x:c>
      <x:c r="S122" s="69" t="str">
        <x:f>IF(B122="","",IFERROR(MINIFS(Pagos!$E$6:$E$305,Pagos!$B$6:$B$305,B122,Pagos!$J$6:$J$305,"Pendiente",Pagos!$E$6:$E$305,"&gt;="&amp;TODAY()),""))</x:f>
      </x:c>
      <x:c r="T122" s="61" t="str">
        <x:f>IF(B122="","",IF(COUNTIFS(Pagos!$B$6:$B$305,B122,Pagos!$J$6:$J$305,"Pendiente",Pagos!$E$6:$E$305,"&lt;"&amp;TODAY())&gt;0,"Vencido",IF(Q122=0,"Sin pagos",IF(R122=0,"Pagado","Pago parcial"))))</x:f>
      </x:c>
      <x:c r="U122" s="87" t="str">
        <x:f>IF(B122="","",IF(AND(M122="Cotizado",J122&lt;&gt;""),"⚠ Quitá Precio contratado o cambiá Estado",IF(AND(OR(M122="Reservado",M122="Contratado",M122="Finalizado"),J122=""),"⚠ Falta Precio contratado","✓ OK")))</x:f>
      </x:c>
    </x:row>
    <x:row r="123">
      <x:c r="A123" s="61"/>
      <x:c r="B123" s="59"/>
      <x:c r="C123" s="24"/>
      <x:c r="D123" s="59"/>
      <x:c r="E123" s="59"/>
      <x:c r="F123" s="59"/>
      <x:c r="G123" s="59"/>
      <x:c r="H123" s="59"/>
      <x:c r="I123" s="63"/>
      <x:c r="J123" s="63"/>
      <x:c r="K123" s="24"/>
      <x:c r="L123" s="65"/>
      <x:c r="M123" s="24"/>
      <x:c r="N123" s="24"/>
      <x:c r="O123" s="59"/>
      <x:c r="P123" s="71"/>
      <x:c r="Q123" s="67" t="str">
        <x:f>IF(B123="","",SUMIFS(Pagos!$G$6:$G$305,Pagos!$B$6:$B$305,B123,Pagos!$J$6:$J$305,"Pagado"))</x:f>
      </x:c>
      <x:c r="R123" s="67" t="str">
        <x:f>IF(B123="","",MAX(0,IF(J123&lt;&gt;"",J123,IF(I123&lt;&gt;"",I123,0))-Q123))</x:f>
      </x:c>
      <x:c r="S123" s="69" t="str">
        <x:f>IF(B123="","",IFERROR(MINIFS(Pagos!$E$6:$E$305,Pagos!$B$6:$B$305,B123,Pagos!$J$6:$J$305,"Pendiente",Pagos!$E$6:$E$305,"&gt;="&amp;TODAY()),""))</x:f>
      </x:c>
      <x:c r="T123" s="61" t="str">
        <x:f>IF(B123="","",IF(COUNTIFS(Pagos!$B$6:$B$305,B123,Pagos!$J$6:$J$305,"Pendiente",Pagos!$E$6:$E$305,"&lt;"&amp;TODAY())&gt;0,"Vencido",IF(Q123=0,"Sin pagos",IF(R123=0,"Pagado","Pago parcial"))))</x:f>
      </x:c>
      <x:c r="U123" s="87" t="str">
        <x:f>IF(B123="","",IF(AND(M123="Cotizado",J123&lt;&gt;""),"⚠ Quitá Precio contratado o cambiá Estado",IF(AND(OR(M123="Reservado",M123="Contratado",M123="Finalizado"),J123=""),"⚠ Falta Precio contratado","✓ OK")))</x:f>
      </x:c>
    </x:row>
    <x:row r="124">
      <x:c r="A124" s="61"/>
      <x:c r="B124" s="59"/>
      <x:c r="C124" s="24"/>
      <x:c r="D124" s="59"/>
      <x:c r="E124" s="59"/>
      <x:c r="F124" s="59"/>
      <x:c r="G124" s="59"/>
      <x:c r="H124" s="59"/>
      <x:c r="I124" s="63"/>
      <x:c r="J124" s="63"/>
      <x:c r="K124" s="24"/>
      <x:c r="L124" s="65"/>
      <x:c r="M124" s="24"/>
      <x:c r="N124" s="24"/>
      <x:c r="O124" s="59"/>
      <x:c r="P124" s="71"/>
      <x:c r="Q124" s="67" t="str">
        <x:f>IF(B124="","",SUMIFS(Pagos!$G$6:$G$305,Pagos!$B$6:$B$305,B124,Pagos!$J$6:$J$305,"Pagado"))</x:f>
      </x:c>
      <x:c r="R124" s="67" t="str">
        <x:f>IF(B124="","",MAX(0,IF(J124&lt;&gt;"",J124,IF(I124&lt;&gt;"",I124,0))-Q124))</x:f>
      </x:c>
      <x:c r="S124" s="69" t="str">
        <x:f>IF(B124="","",IFERROR(MINIFS(Pagos!$E$6:$E$305,Pagos!$B$6:$B$305,B124,Pagos!$J$6:$J$305,"Pendiente",Pagos!$E$6:$E$305,"&gt;="&amp;TODAY()),""))</x:f>
      </x:c>
      <x:c r="T124" s="61" t="str">
        <x:f>IF(B124="","",IF(COUNTIFS(Pagos!$B$6:$B$305,B124,Pagos!$J$6:$J$305,"Pendiente",Pagos!$E$6:$E$305,"&lt;"&amp;TODAY())&gt;0,"Vencido",IF(Q124=0,"Sin pagos",IF(R124=0,"Pagado","Pago parcial"))))</x:f>
      </x:c>
      <x:c r="U124" s="87" t="str">
        <x:f>IF(B124="","",IF(AND(M124="Cotizado",J124&lt;&gt;""),"⚠ Quitá Precio contratado o cambiá Estado",IF(AND(OR(M124="Reservado",M124="Contratado",M124="Finalizado"),J124=""),"⚠ Falta Precio contratado","✓ OK")))</x:f>
      </x:c>
    </x:row>
    <x:row r="125">
      <x:c r="A125" s="61"/>
      <x:c r="B125" s="59"/>
      <x:c r="C125" s="24"/>
      <x:c r="D125" s="59"/>
      <x:c r="E125" s="59"/>
      <x:c r="F125" s="59"/>
      <x:c r="G125" s="59"/>
      <x:c r="H125" s="59"/>
      <x:c r="I125" s="63"/>
      <x:c r="J125" s="63"/>
      <x:c r="K125" s="24"/>
      <x:c r="L125" s="65"/>
      <x:c r="M125" s="24"/>
      <x:c r="N125" s="24"/>
      <x:c r="O125" s="59"/>
      <x:c r="P125" s="71"/>
      <x:c r="Q125" s="67" t="str">
        <x:f>IF(B125="","",SUMIFS(Pagos!$G$6:$G$305,Pagos!$B$6:$B$305,B125,Pagos!$J$6:$J$305,"Pagado"))</x:f>
      </x:c>
      <x:c r="R125" s="67" t="str">
        <x:f>IF(B125="","",MAX(0,IF(J125&lt;&gt;"",J125,IF(I125&lt;&gt;"",I125,0))-Q125))</x:f>
      </x:c>
      <x:c r="S125" s="69" t="str">
        <x:f>IF(B125="","",IFERROR(MINIFS(Pagos!$E$6:$E$305,Pagos!$B$6:$B$305,B125,Pagos!$J$6:$J$305,"Pendiente",Pagos!$E$6:$E$305,"&gt;="&amp;TODAY()),""))</x:f>
      </x:c>
      <x:c r="T125" s="61" t="str">
        <x:f>IF(B125="","",IF(COUNTIFS(Pagos!$B$6:$B$305,B125,Pagos!$J$6:$J$305,"Pendiente",Pagos!$E$6:$E$305,"&lt;"&amp;TODAY())&gt;0,"Vencido",IF(Q125=0,"Sin pagos",IF(R125=0,"Pagado","Pago parcial"))))</x:f>
      </x:c>
      <x:c r="U125" s="87" t="str">
        <x:f>IF(B125="","",IF(AND(M125="Cotizado",J125&lt;&gt;""),"⚠ Quitá Precio contratado o cambiá Estado",IF(AND(OR(M125="Reservado",M125="Contratado",M125="Finalizado"),J125=""),"⚠ Falta Precio contratado","✓ OK")))</x:f>
      </x:c>
    </x:row>
    <x:row r="126">
      <x:c r="A126" s="61"/>
      <x:c r="B126" s="59"/>
      <x:c r="C126" s="24"/>
      <x:c r="D126" s="59"/>
      <x:c r="E126" s="59"/>
      <x:c r="F126" s="59"/>
      <x:c r="G126" s="59"/>
      <x:c r="H126" s="59"/>
      <x:c r="I126" s="63"/>
      <x:c r="J126" s="63"/>
      <x:c r="K126" s="24"/>
      <x:c r="L126" s="65"/>
      <x:c r="M126" s="24"/>
      <x:c r="N126" s="24"/>
      <x:c r="O126" s="59"/>
      <x:c r="P126" s="71"/>
      <x:c r="Q126" s="67" t="str">
        <x:f>IF(B126="","",SUMIFS(Pagos!$G$6:$G$305,Pagos!$B$6:$B$305,B126,Pagos!$J$6:$J$305,"Pagado"))</x:f>
      </x:c>
      <x:c r="R126" s="67" t="str">
        <x:f>IF(B126="","",MAX(0,IF(J126&lt;&gt;"",J126,IF(I126&lt;&gt;"",I126,0))-Q126))</x:f>
      </x:c>
      <x:c r="S126" s="69" t="str">
        <x:f>IF(B126="","",IFERROR(MINIFS(Pagos!$E$6:$E$305,Pagos!$B$6:$B$305,B126,Pagos!$J$6:$J$305,"Pendiente",Pagos!$E$6:$E$305,"&gt;="&amp;TODAY()),""))</x:f>
      </x:c>
      <x:c r="T126" s="61" t="str">
        <x:f>IF(B126="","",IF(COUNTIFS(Pagos!$B$6:$B$305,B126,Pagos!$J$6:$J$305,"Pendiente",Pagos!$E$6:$E$305,"&lt;"&amp;TODAY())&gt;0,"Vencido",IF(Q126=0,"Sin pagos",IF(R126=0,"Pagado","Pago parcial"))))</x:f>
      </x:c>
      <x:c r="U126" s="87" t="str">
        <x:f>IF(B126="","",IF(AND(M126="Cotizado",J126&lt;&gt;""),"⚠ Quitá Precio contratado o cambiá Estado",IF(AND(OR(M126="Reservado",M126="Contratado",M126="Finalizado"),J126=""),"⚠ Falta Precio contratado","✓ OK")))</x:f>
      </x:c>
    </x:row>
    <x:row r="127">
      <x:c r="A127" s="61"/>
      <x:c r="B127" s="59"/>
      <x:c r="C127" s="24"/>
      <x:c r="D127" s="59"/>
      <x:c r="E127" s="59"/>
      <x:c r="F127" s="59"/>
      <x:c r="G127" s="59"/>
      <x:c r="H127" s="59"/>
      <x:c r="I127" s="63"/>
      <x:c r="J127" s="63"/>
      <x:c r="K127" s="24"/>
      <x:c r="L127" s="65"/>
      <x:c r="M127" s="24"/>
      <x:c r="N127" s="24"/>
      <x:c r="O127" s="59"/>
      <x:c r="P127" s="71"/>
      <x:c r="Q127" s="67" t="str">
        <x:f>IF(B127="","",SUMIFS(Pagos!$G$6:$G$305,Pagos!$B$6:$B$305,B127,Pagos!$J$6:$J$305,"Pagado"))</x:f>
      </x:c>
      <x:c r="R127" s="67" t="str">
        <x:f>IF(B127="","",MAX(0,IF(J127&lt;&gt;"",J127,IF(I127&lt;&gt;"",I127,0))-Q127))</x:f>
      </x:c>
      <x:c r="S127" s="69" t="str">
        <x:f>IF(B127="","",IFERROR(MINIFS(Pagos!$E$6:$E$305,Pagos!$B$6:$B$305,B127,Pagos!$J$6:$J$305,"Pendiente",Pagos!$E$6:$E$305,"&gt;="&amp;TODAY()),""))</x:f>
      </x:c>
      <x:c r="T127" s="61" t="str">
        <x:f>IF(B127="","",IF(COUNTIFS(Pagos!$B$6:$B$305,B127,Pagos!$J$6:$J$305,"Pendiente",Pagos!$E$6:$E$305,"&lt;"&amp;TODAY())&gt;0,"Vencido",IF(Q127=0,"Sin pagos",IF(R127=0,"Pagado","Pago parcial"))))</x:f>
      </x:c>
      <x:c r="U127" s="87" t="str">
        <x:f>IF(B127="","",IF(AND(M127="Cotizado",J127&lt;&gt;""),"⚠ Quitá Precio contratado o cambiá Estado",IF(AND(OR(M127="Reservado",M127="Contratado",M127="Finalizado"),J127=""),"⚠ Falta Precio contratado","✓ OK")))</x:f>
      </x:c>
    </x:row>
    <x:row r="128">
      <x:c r="A128" s="61"/>
      <x:c r="B128" s="59"/>
      <x:c r="C128" s="24"/>
      <x:c r="D128" s="59"/>
      <x:c r="E128" s="59"/>
      <x:c r="F128" s="59"/>
      <x:c r="G128" s="59"/>
      <x:c r="H128" s="59"/>
      <x:c r="I128" s="63"/>
      <x:c r="J128" s="63"/>
      <x:c r="K128" s="24"/>
      <x:c r="L128" s="65"/>
      <x:c r="M128" s="24"/>
      <x:c r="N128" s="24"/>
      <x:c r="O128" s="59"/>
      <x:c r="P128" s="71"/>
      <x:c r="Q128" s="67" t="str">
        <x:f>IF(B128="","",SUMIFS(Pagos!$G$6:$G$305,Pagos!$B$6:$B$305,B128,Pagos!$J$6:$J$305,"Pagado"))</x:f>
      </x:c>
      <x:c r="R128" s="67" t="str">
        <x:f>IF(B128="","",MAX(0,IF(J128&lt;&gt;"",J128,IF(I128&lt;&gt;"",I128,0))-Q128))</x:f>
      </x:c>
      <x:c r="S128" s="69" t="str">
        <x:f>IF(B128="","",IFERROR(MINIFS(Pagos!$E$6:$E$305,Pagos!$B$6:$B$305,B128,Pagos!$J$6:$J$305,"Pendiente",Pagos!$E$6:$E$305,"&gt;="&amp;TODAY()),""))</x:f>
      </x:c>
      <x:c r="T128" s="61" t="str">
        <x:f>IF(B128="","",IF(COUNTIFS(Pagos!$B$6:$B$305,B128,Pagos!$J$6:$J$305,"Pendiente",Pagos!$E$6:$E$305,"&lt;"&amp;TODAY())&gt;0,"Vencido",IF(Q128=0,"Sin pagos",IF(R128=0,"Pagado","Pago parcial"))))</x:f>
      </x:c>
      <x:c r="U128" s="87" t="str">
        <x:f>IF(B128="","",IF(AND(M128="Cotizado",J128&lt;&gt;""),"⚠ Quitá Precio contratado o cambiá Estado",IF(AND(OR(M128="Reservado",M128="Contratado",M128="Finalizado"),J128=""),"⚠ Falta Precio contratado","✓ OK")))</x:f>
      </x:c>
    </x:row>
    <x:row r="129">
      <x:c r="A129" s="61"/>
      <x:c r="B129" s="59"/>
      <x:c r="C129" s="24"/>
      <x:c r="D129" s="59"/>
      <x:c r="E129" s="59"/>
      <x:c r="F129" s="59"/>
      <x:c r="G129" s="59"/>
      <x:c r="H129" s="59"/>
      <x:c r="I129" s="63"/>
      <x:c r="J129" s="63"/>
      <x:c r="K129" s="24"/>
      <x:c r="L129" s="65"/>
      <x:c r="M129" s="24"/>
      <x:c r="N129" s="24"/>
      <x:c r="O129" s="59"/>
      <x:c r="P129" s="71"/>
      <x:c r="Q129" s="67" t="str">
        <x:f>IF(B129="","",SUMIFS(Pagos!$G$6:$G$305,Pagos!$B$6:$B$305,B129,Pagos!$J$6:$J$305,"Pagado"))</x:f>
      </x:c>
      <x:c r="R129" s="67" t="str">
        <x:f>IF(B129="","",MAX(0,IF(J129&lt;&gt;"",J129,IF(I129&lt;&gt;"",I129,0))-Q129))</x:f>
      </x:c>
      <x:c r="S129" s="69" t="str">
        <x:f>IF(B129="","",IFERROR(MINIFS(Pagos!$E$6:$E$305,Pagos!$B$6:$B$305,B129,Pagos!$J$6:$J$305,"Pendiente",Pagos!$E$6:$E$305,"&gt;="&amp;TODAY()),""))</x:f>
      </x:c>
      <x:c r="T129" s="61" t="str">
        <x:f>IF(B129="","",IF(COUNTIFS(Pagos!$B$6:$B$305,B129,Pagos!$J$6:$J$305,"Pendiente",Pagos!$E$6:$E$305,"&lt;"&amp;TODAY())&gt;0,"Vencido",IF(Q129=0,"Sin pagos",IF(R129=0,"Pagado","Pago parcial"))))</x:f>
      </x:c>
      <x:c r="U129" s="87" t="str">
        <x:f>IF(B129="","",IF(AND(M129="Cotizado",J129&lt;&gt;""),"⚠ Quitá Precio contratado o cambiá Estado",IF(AND(OR(M129="Reservado",M129="Contratado",M129="Finalizado"),J129=""),"⚠ Falta Precio contratado","✓ OK")))</x:f>
      </x:c>
    </x:row>
    <x:row r="130">
      <x:c r="A130" s="61"/>
      <x:c r="B130" s="59"/>
      <x:c r="C130" s="24"/>
      <x:c r="D130" s="59"/>
      <x:c r="E130" s="59"/>
      <x:c r="F130" s="59"/>
      <x:c r="G130" s="59"/>
      <x:c r="H130" s="59"/>
      <x:c r="I130" s="63"/>
      <x:c r="J130" s="63"/>
      <x:c r="K130" s="24"/>
      <x:c r="L130" s="65"/>
      <x:c r="M130" s="24"/>
      <x:c r="N130" s="24"/>
      <x:c r="O130" s="59"/>
      <x:c r="P130" s="71"/>
      <x:c r="Q130" s="67" t="str">
        <x:f>IF(B130="","",SUMIFS(Pagos!$G$6:$G$305,Pagos!$B$6:$B$305,B130,Pagos!$J$6:$J$305,"Pagado"))</x:f>
      </x:c>
      <x:c r="R130" s="67" t="str">
        <x:f>IF(B130="","",MAX(0,IF(J130&lt;&gt;"",J130,IF(I130&lt;&gt;"",I130,0))-Q130))</x:f>
      </x:c>
      <x:c r="S130" s="69" t="str">
        <x:f>IF(B130="","",IFERROR(MINIFS(Pagos!$E$6:$E$305,Pagos!$B$6:$B$305,B130,Pagos!$J$6:$J$305,"Pendiente",Pagos!$E$6:$E$305,"&gt;="&amp;TODAY()),""))</x:f>
      </x:c>
      <x:c r="T130" s="61" t="str">
        <x:f>IF(B130="","",IF(COUNTIFS(Pagos!$B$6:$B$305,B130,Pagos!$J$6:$J$305,"Pendiente",Pagos!$E$6:$E$305,"&lt;"&amp;TODAY())&gt;0,"Vencido",IF(Q130=0,"Sin pagos",IF(R130=0,"Pagado","Pago parcial"))))</x:f>
      </x:c>
      <x:c r="U130" s="87" t="str">
        <x:f>IF(B130="","",IF(AND(M130="Cotizado",J130&lt;&gt;""),"⚠ Quitá Precio contratado o cambiá Estado",IF(AND(OR(M130="Reservado",M130="Contratado",M130="Finalizado"),J130=""),"⚠ Falta Precio contratado","✓ OK")))</x:f>
      </x:c>
    </x:row>
    <x:row r="131">
      <x:c r="A131" s="61"/>
      <x:c r="B131" s="59"/>
      <x:c r="C131" s="24"/>
      <x:c r="D131" s="59"/>
      <x:c r="E131" s="59"/>
      <x:c r="F131" s="59"/>
      <x:c r="G131" s="59"/>
      <x:c r="H131" s="59"/>
      <x:c r="I131" s="63"/>
      <x:c r="J131" s="63"/>
      <x:c r="K131" s="24"/>
      <x:c r="L131" s="65"/>
      <x:c r="M131" s="24"/>
      <x:c r="N131" s="24"/>
      <x:c r="O131" s="59"/>
      <x:c r="P131" s="71"/>
      <x:c r="Q131" s="67" t="str">
        <x:f>IF(B131="","",SUMIFS(Pagos!$G$6:$G$305,Pagos!$B$6:$B$305,B131,Pagos!$J$6:$J$305,"Pagado"))</x:f>
      </x:c>
      <x:c r="R131" s="67" t="str">
        <x:f>IF(B131="","",MAX(0,IF(J131&lt;&gt;"",J131,IF(I131&lt;&gt;"",I131,0))-Q131))</x:f>
      </x:c>
      <x:c r="S131" s="69" t="str">
        <x:f>IF(B131="","",IFERROR(MINIFS(Pagos!$E$6:$E$305,Pagos!$B$6:$B$305,B131,Pagos!$J$6:$J$305,"Pendiente",Pagos!$E$6:$E$305,"&gt;="&amp;TODAY()),""))</x:f>
      </x:c>
      <x:c r="T131" s="61" t="str">
        <x:f>IF(B131="","",IF(COUNTIFS(Pagos!$B$6:$B$305,B131,Pagos!$J$6:$J$305,"Pendiente",Pagos!$E$6:$E$305,"&lt;"&amp;TODAY())&gt;0,"Vencido",IF(Q131=0,"Sin pagos",IF(R131=0,"Pagado","Pago parcial"))))</x:f>
      </x:c>
      <x:c r="U131" s="87" t="str">
        <x:f>IF(B131="","",IF(AND(M131="Cotizado",J131&lt;&gt;""),"⚠ Quitá Precio contratado o cambiá Estado",IF(AND(OR(M131="Reservado",M131="Contratado",M131="Finalizado"),J131=""),"⚠ Falta Precio contratado","✓ OK")))</x:f>
      </x:c>
    </x:row>
    <x:row r="132">
      <x:c r="A132" s="61"/>
      <x:c r="B132" s="59"/>
      <x:c r="C132" s="24"/>
      <x:c r="D132" s="59"/>
      <x:c r="E132" s="59"/>
      <x:c r="F132" s="59"/>
      <x:c r="G132" s="59"/>
      <x:c r="H132" s="59"/>
      <x:c r="I132" s="63"/>
      <x:c r="J132" s="63"/>
      <x:c r="K132" s="24"/>
      <x:c r="L132" s="65"/>
      <x:c r="M132" s="24"/>
      <x:c r="N132" s="24"/>
      <x:c r="O132" s="59"/>
      <x:c r="P132" s="71"/>
      <x:c r="Q132" s="67" t="str">
        <x:f>IF(B132="","",SUMIFS(Pagos!$G$6:$G$305,Pagos!$B$6:$B$305,B132,Pagos!$J$6:$J$305,"Pagado"))</x:f>
      </x:c>
      <x:c r="R132" s="67" t="str">
        <x:f>IF(B132="","",MAX(0,IF(J132&lt;&gt;"",J132,IF(I132&lt;&gt;"",I132,0))-Q132))</x:f>
      </x:c>
      <x:c r="S132" s="69" t="str">
        <x:f>IF(B132="","",IFERROR(MINIFS(Pagos!$E$6:$E$305,Pagos!$B$6:$B$305,B132,Pagos!$J$6:$J$305,"Pendiente",Pagos!$E$6:$E$305,"&gt;="&amp;TODAY()),""))</x:f>
      </x:c>
      <x:c r="T132" s="61" t="str">
        <x:f>IF(B132="","",IF(COUNTIFS(Pagos!$B$6:$B$305,B132,Pagos!$J$6:$J$305,"Pendiente",Pagos!$E$6:$E$305,"&lt;"&amp;TODAY())&gt;0,"Vencido",IF(Q132=0,"Sin pagos",IF(R132=0,"Pagado","Pago parcial"))))</x:f>
      </x:c>
      <x:c r="U132" s="87" t="str">
        <x:f>IF(B132="","",IF(AND(M132="Cotizado",J132&lt;&gt;""),"⚠ Quitá Precio contratado o cambiá Estado",IF(AND(OR(M132="Reservado",M132="Contratado",M132="Finalizado"),J132=""),"⚠ Falta Precio contratado","✓ OK")))</x:f>
      </x:c>
    </x:row>
    <x:row r="133">
      <x:c r="A133" s="61"/>
      <x:c r="B133" s="59"/>
      <x:c r="C133" s="24"/>
      <x:c r="D133" s="59"/>
      <x:c r="E133" s="59"/>
      <x:c r="F133" s="59"/>
      <x:c r="G133" s="59"/>
      <x:c r="H133" s="59"/>
      <x:c r="I133" s="63"/>
      <x:c r="J133" s="63"/>
      <x:c r="K133" s="24"/>
      <x:c r="L133" s="65"/>
      <x:c r="M133" s="24"/>
      <x:c r="N133" s="24"/>
      <x:c r="O133" s="59"/>
      <x:c r="P133" s="71"/>
      <x:c r="Q133" s="67" t="str">
        <x:f>IF(B133="","",SUMIFS(Pagos!$G$6:$G$305,Pagos!$B$6:$B$305,B133,Pagos!$J$6:$J$305,"Pagado"))</x:f>
      </x:c>
      <x:c r="R133" s="67" t="str">
        <x:f>IF(B133="","",MAX(0,IF(J133&lt;&gt;"",J133,IF(I133&lt;&gt;"",I133,0))-Q133))</x:f>
      </x:c>
      <x:c r="S133" s="69" t="str">
        <x:f>IF(B133="","",IFERROR(MINIFS(Pagos!$E$6:$E$305,Pagos!$B$6:$B$305,B133,Pagos!$J$6:$J$305,"Pendiente",Pagos!$E$6:$E$305,"&gt;="&amp;TODAY()),""))</x:f>
      </x:c>
      <x:c r="T133" s="61" t="str">
        <x:f>IF(B133="","",IF(COUNTIFS(Pagos!$B$6:$B$305,B133,Pagos!$J$6:$J$305,"Pendiente",Pagos!$E$6:$E$305,"&lt;"&amp;TODAY())&gt;0,"Vencido",IF(Q133=0,"Sin pagos",IF(R133=0,"Pagado","Pago parcial"))))</x:f>
      </x:c>
      <x:c r="U133" s="87" t="str">
        <x:f>IF(B133="","",IF(AND(M133="Cotizado",J133&lt;&gt;""),"⚠ Quitá Precio contratado o cambiá Estado",IF(AND(OR(M133="Reservado",M133="Contratado",M133="Finalizado"),J133=""),"⚠ Falta Precio contratado","✓ OK")))</x:f>
      </x:c>
    </x:row>
    <x:row r="134">
      <x:c r="A134" s="61"/>
      <x:c r="B134" s="59"/>
      <x:c r="C134" s="24"/>
      <x:c r="D134" s="59"/>
      <x:c r="E134" s="59"/>
      <x:c r="F134" s="59"/>
      <x:c r="G134" s="59"/>
      <x:c r="H134" s="59"/>
      <x:c r="I134" s="63"/>
      <x:c r="J134" s="63"/>
      <x:c r="K134" s="24"/>
      <x:c r="L134" s="65"/>
      <x:c r="M134" s="24"/>
      <x:c r="N134" s="24"/>
      <x:c r="O134" s="59"/>
      <x:c r="P134" s="71"/>
      <x:c r="Q134" s="67" t="str">
        <x:f>IF(B134="","",SUMIFS(Pagos!$G$6:$G$305,Pagos!$B$6:$B$305,B134,Pagos!$J$6:$J$305,"Pagado"))</x:f>
      </x:c>
      <x:c r="R134" s="67" t="str">
        <x:f>IF(B134="","",MAX(0,IF(J134&lt;&gt;"",J134,IF(I134&lt;&gt;"",I134,0))-Q134))</x:f>
      </x:c>
      <x:c r="S134" s="69" t="str">
        <x:f>IF(B134="","",IFERROR(MINIFS(Pagos!$E$6:$E$305,Pagos!$B$6:$B$305,B134,Pagos!$J$6:$J$305,"Pendiente",Pagos!$E$6:$E$305,"&gt;="&amp;TODAY()),""))</x:f>
      </x:c>
      <x:c r="T134" s="61" t="str">
        <x:f>IF(B134="","",IF(COUNTIFS(Pagos!$B$6:$B$305,B134,Pagos!$J$6:$J$305,"Pendiente",Pagos!$E$6:$E$305,"&lt;"&amp;TODAY())&gt;0,"Vencido",IF(Q134=0,"Sin pagos",IF(R134=0,"Pagado","Pago parcial"))))</x:f>
      </x:c>
      <x:c r="U134" s="87" t="str">
        <x:f>IF(B134="","",IF(AND(M134="Cotizado",J134&lt;&gt;""),"⚠ Quitá Precio contratado o cambiá Estado",IF(AND(OR(M134="Reservado",M134="Contratado",M134="Finalizado"),J134=""),"⚠ Falta Precio contratado","✓ OK")))</x:f>
      </x:c>
    </x:row>
    <x:row r="135">
      <x:c r="A135" s="61"/>
      <x:c r="B135" s="59"/>
      <x:c r="C135" s="24"/>
      <x:c r="D135" s="59"/>
      <x:c r="E135" s="59"/>
      <x:c r="F135" s="59"/>
      <x:c r="G135" s="59"/>
      <x:c r="H135" s="59"/>
      <x:c r="I135" s="63"/>
      <x:c r="J135" s="63"/>
      <x:c r="K135" s="24"/>
      <x:c r="L135" s="65"/>
      <x:c r="M135" s="24"/>
      <x:c r="N135" s="24"/>
      <x:c r="O135" s="59"/>
      <x:c r="P135" s="71"/>
      <x:c r="Q135" s="67" t="str">
        <x:f>IF(B135="","",SUMIFS(Pagos!$G$6:$G$305,Pagos!$B$6:$B$305,B135,Pagos!$J$6:$J$305,"Pagado"))</x:f>
      </x:c>
      <x:c r="R135" s="67" t="str">
        <x:f>IF(B135="","",MAX(0,IF(J135&lt;&gt;"",J135,IF(I135&lt;&gt;"",I135,0))-Q135))</x:f>
      </x:c>
      <x:c r="S135" s="69" t="str">
        <x:f>IF(B135="","",IFERROR(MINIFS(Pagos!$E$6:$E$305,Pagos!$B$6:$B$305,B135,Pagos!$J$6:$J$305,"Pendiente",Pagos!$E$6:$E$305,"&gt;="&amp;TODAY()),""))</x:f>
      </x:c>
      <x:c r="T135" s="61" t="str">
        <x:f>IF(B135="","",IF(COUNTIFS(Pagos!$B$6:$B$305,B135,Pagos!$J$6:$J$305,"Pendiente",Pagos!$E$6:$E$305,"&lt;"&amp;TODAY())&gt;0,"Vencido",IF(Q135=0,"Sin pagos",IF(R135=0,"Pagado","Pago parcial"))))</x:f>
      </x:c>
      <x:c r="U135" s="87" t="str">
        <x:f>IF(B135="","",IF(AND(M135="Cotizado",J135&lt;&gt;""),"⚠ Quitá Precio contratado o cambiá Estado",IF(AND(OR(M135="Reservado",M135="Contratado",M135="Finalizado"),J135=""),"⚠ Falta Precio contratado","✓ OK")))</x:f>
      </x:c>
    </x:row>
    <x:row r="136">
      <x:c r="A136" s="61"/>
      <x:c r="B136" s="59"/>
      <x:c r="C136" s="24"/>
      <x:c r="D136" s="59"/>
      <x:c r="E136" s="59"/>
      <x:c r="F136" s="59"/>
      <x:c r="G136" s="59"/>
      <x:c r="H136" s="59"/>
      <x:c r="I136" s="63"/>
      <x:c r="J136" s="63"/>
      <x:c r="K136" s="24"/>
      <x:c r="L136" s="65"/>
      <x:c r="M136" s="24"/>
      <x:c r="N136" s="24"/>
      <x:c r="O136" s="59"/>
      <x:c r="P136" s="71"/>
      <x:c r="Q136" s="67" t="str">
        <x:f>IF(B136="","",SUMIFS(Pagos!$G$6:$G$305,Pagos!$B$6:$B$305,B136,Pagos!$J$6:$J$305,"Pagado"))</x:f>
      </x:c>
      <x:c r="R136" s="67" t="str">
        <x:f>IF(B136="","",MAX(0,IF(J136&lt;&gt;"",J136,IF(I136&lt;&gt;"",I136,0))-Q136))</x:f>
      </x:c>
      <x:c r="S136" s="69" t="str">
        <x:f>IF(B136="","",IFERROR(MINIFS(Pagos!$E$6:$E$305,Pagos!$B$6:$B$305,B136,Pagos!$J$6:$J$305,"Pendiente",Pagos!$E$6:$E$305,"&gt;="&amp;TODAY()),""))</x:f>
      </x:c>
      <x:c r="T136" s="61" t="str">
        <x:f>IF(B136="","",IF(COUNTIFS(Pagos!$B$6:$B$305,B136,Pagos!$J$6:$J$305,"Pendiente",Pagos!$E$6:$E$305,"&lt;"&amp;TODAY())&gt;0,"Vencido",IF(Q136=0,"Sin pagos",IF(R136=0,"Pagado","Pago parcial"))))</x:f>
      </x:c>
      <x:c r="U136" s="87" t="str">
        <x:f>IF(B136="","",IF(AND(M136="Cotizado",J136&lt;&gt;""),"⚠ Quitá Precio contratado o cambiá Estado",IF(AND(OR(M136="Reservado",M136="Contratado",M136="Finalizado"),J136=""),"⚠ Falta Precio contratado","✓ OK")))</x:f>
      </x:c>
    </x:row>
    <x:row r="137">
      <x:c r="A137" s="61"/>
      <x:c r="B137" s="59"/>
      <x:c r="C137" s="24"/>
      <x:c r="D137" s="59"/>
      <x:c r="E137" s="59"/>
      <x:c r="F137" s="59"/>
      <x:c r="G137" s="59"/>
      <x:c r="H137" s="59"/>
      <x:c r="I137" s="63"/>
      <x:c r="J137" s="63"/>
      <x:c r="K137" s="24"/>
      <x:c r="L137" s="65"/>
      <x:c r="M137" s="24"/>
      <x:c r="N137" s="24"/>
      <x:c r="O137" s="59"/>
      <x:c r="P137" s="71"/>
      <x:c r="Q137" s="67" t="str">
        <x:f>IF(B137="","",SUMIFS(Pagos!$G$6:$G$305,Pagos!$B$6:$B$305,B137,Pagos!$J$6:$J$305,"Pagado"))</x:f>
      </x:c>
      <x:c r="R137" s="67" t="str">
        <x:f>IF(B137="","",MAX(0,IF(J137&lt;&gt;"",J137,IF(I137&lt;&gt;"",I137,0))-Q137))</x:f>
      </x:c>
      <x:c r="S137" s="69" t="str">
        <x:f>IF(B137="","",IFERROR(MINIFS(Pagos!$E$6:$E$305,Pagos!$B$6:$B$305,B137,Pagos!$J$6:$J$305,"Pendiente",Pagos!$E$6:$E$305,"&gt;="&amp;TODAY()),""))</x:f>
      </x:c>
      <x:c r="T137" s="61" t="str">
        <x:f>IF(B137="","",IF(COUNTIFS(Pagos!$B$6:$B$305,B137,Pagos!$J$6:$J$305,"Pendiente",Pagos!$E$6:$E$305,"&lt;"&amp;TODAY())&gt;0,"Vencido",IF(Q137=0,"Sin pagos",IF(R137=0,"Pagado","Pago parcial"))))</x:f>
      </x:c>
      <x:c r="U137" s="87" t="str">
        <x:f>IF(B137="","",IF(AND(M137="Cotizado",J137&lt;&gt;""),"⚠ Quitá Precio contratado o cambiá Estado",IF(AND(OR(M137="Reservado",M137="Contratado",M137="Finalizado"),J137=""),"⚠ Falta Precio contratado","✓ OK")))</x:f>
      </x:c>
    </x:row>
    <x:row r="138">
      <x:c r="A138" s="61"/>
      <x:c r="B138" s="59"/>
      <x:c r="C138" s="24"/>
      <x:c r="D138" s="59"/>
      <x:c r="E138" s="59"/>
      <x:c r="F138" s="59"/>
      <x:c r="G138" s="59"/>
      <x:c r="H138" s="59"/>
      <x:c r="I138" s="63"/>
      <x:c r="J138" s="63"/>
      <x:c r="K138" s="24"/>
      <x:c r="L138" s="65"/>
      <x:c r="M138" s="24"/>
      <x:c r="N138" s="24"/>
      <x:c r="O138" s="59"/>
      <x:c r="P138" s="71"/>
      <x:c r="Q138" s="67" t="str">
        <x:f>IF(B138="","",SUMIFS(Pagos!$G$6:$G$305,Pagos!$B$6:$B$305,B138,Pagos!$J$6:$J$305,"Pagado"))</x:f>
      </x:c>
      <x:c r="R138" s="67" t="str">
        <x:f>IF(B138="","",MAX(0,IF(J138&lt;&gt;"",J138,IF(I138&lt;&gt;"",I138,0))-Q138))</x:f>
      </x:c>
      <x:c r="S138" s="69" t="str">
        <x:f>IF(B138="","",IFERROR(MINIFS(Pagos!$E$6:$E$305,Pagos!$B$6:$B$305,B138,Pagos!$J$6:$J$305,"Pendiente",Pagos!$E$6:$E$305,"&gt;="&amp;TODAY()),""))</x:f>
      </x:c>
      <x:c r="T138" s="61" t="str">
        <x:f>IF(B138="","",IF(COUNTIFS(Pagos!$B$6:$B$305,B138,Pagos!$J$6:$J$305,"Pendiente",Pagos!$E$6:$E$305,"&lt;"&amp;TODAY())&gt;0,"Vencido",IF(Q138=0,"Sin pagos",IF(R138=0,"Pagado","Pago parcial"))))</x:f>
      </x:c>
      <x:c r="U138" s="87" t="str">
        <x:f>IF(B138="","",IF(AND(M138="Cotizado",J138&lt;&gt;""),"⚠ Quitá Precio contratado o cambiá Estado",IF(AND(OR(M138="Reservado",M138="Contratado",M138="Finalizado"),J138=""),"⚠ Falta Precio contratado","✓ OK")))</x:f>
      </x:c>
    </x:row>
    <x:row r="139">
      <x:c r="A139" s="61"/>
      <x:c r="B139" s="59"/>
      <x:c r="C139" s="24"/>
      <x:c r="D139" s="59"/>
      <x:c r="E139" s="59"/>
      <x:c r="F139" s="59"/>
      <x:c r="G139" s="59"/>
      <x:c r="H139" s="59"/>
      <x:c r="I139" s="63"/>
      <x:c r="J139" s="63"/>
      <x:c r="K139" s="24"/>
      <x:c r="L139" s="65"/>
      <x:c r="M139" s="24"/>
      <x:c r="N139" s="24"/>
      <x:c r="O139" s="59"/>
      <x:c r="P139" s="71"/>
      <x:c r="Q139" s="67" t="str">
        <x:f>IF(B139="","",SUMIFS(Pagos!$G$6:$G$305,Pagos!$B$6:$B$305,B139,Pagos!$J$6:$J$305,"Pagado"))</x:f>
      </x:c>
      <x:c r="R139" s="67" t="str">
        <x:f>IF(B139="","",MAX(0,IF(J139&lt;&gt;"",J139,IF(I139&lt;&gt;"",I139,0))-Q139))</x:f>
      </x:c>
      <x:c r="S139" s="69" t="str">
        <x:f>IF(B139="","",IFERROR(MINIFS(Pagos!$E$6:$E$305,Pagos!$B$6:$B$305,B139,Pagos!$J$6:$J$305,"Pendiente",Pagos!$E$6:$E$305,"&gt;="&amp;TODAY()),""))</x:f>
      </x:c>
      <x:c r="T139" s="61" t="str">
        <x:f>IF(B139="","",IF(COUNTIFS(Pagos!$B$6:$B$305,B139,Pagos!$J$6:$J$305,"Pendiente",Pagos!$E$6:$E$305,"&lt;"&amp;TODAY())&gt;0,"Vencido",IF(Q139=0,"Sin pagos",IF(R139=0,"Pagado","Pago parcial"))))</x:f>
      </x:c>
      <x:c r="U139" s="87" t="str">
        <x:f>IF(B139="","",IF(AND(M139="Cotizado",J139&lt;&gt;""),"⚠ Quitá Precio contratado o cambiá Estado",IF(AND(OR(M139="Reservado",M139="Contratado",M139="Finalizado"),J139=""),"⚠ Falta Precio contratado","✓ OK")))</x:f>
      </x:c>
    </x:row>
    <x:row r="140">
      <x:c r="A140" s="61"/>
      <x:c r="B140" s="59"/>
      <x:c r="C140" s="24"/>
      <x:c r="D140" s="59"/>
      <x:c r="E140" s="59"/>
      <x:c r="F140" s="59"/>
      <x:c r="G140" s="59"/>
      <x:c r="H140" s="59"/>
      <x:c r="I140" s="63"/>
      <x:c r="J140" s="63"/>
      <x:c r="K140" s="24"/>
      <x:c r="L140" s="65"/>
      <x:c r="M140" s="24"/>
      <x:c r="N140" s="24"/>
      <x:c r="O140" s="59"/>
      <x:c r="P140" s="71"/>
      <x:c r="Q140" s="67" t="str">
        <x:f>IF(B140="","",SUMIFS(Pagos!$G$6:$G$305,Pagos!$B$6:$B$305,B140,Pagos!$J$6:$J$305,"Pagado"))</x:f>
      </x:c>
      <x:c r="R140" s="67" t="str">
        <x:f>IF(B140="","",MAX(0,IF(J140&lt;&gt;"",J140,IF(I140&lt;&gt;"",I140,0))-Q140))</x:f>
      </x:c>
      <x:c r="S140" s="69" t="str">
        <x:f>IF(B140="","",IFERROR(MINIFS(Pagos!$E$6:$E$305,Pagos!$B$6:$B$305,B140,Pagos!$J$6:$J$305,"Pendiente",Pagos!$E$6:$E$305,"&gt;="&amp;TODAY()),""))</x:f>
      </x:c>
      <x:c r="T140" s="61" t="str">
        <x:f>IF(B140="","",IF(COUNTIFS(Pagos!$B$6:$B$305,B140,Pagos!$J$6:$J$305,"Pendiente",Pagos!$E$6:$E$305,"&lt;"&amp;TODAY())&gt;0,"Vencido",IF(Q140=0,"Sin pagos",IF(R140=0,"Pagado","Pago parcial"))))</x:f>
      </x:c>
      <x:c r="U140" s="87" t="str">
        <x:f>IF(B140="","",IF(AND(M140="Cotizado",J140&lt;&gt;""),"⚠ Quitá Precio contratado o cambiá Estado",IF(AND(OR(M140="Reservado",M140="Contratado",M140="Finalizado"),J140=""),"⚠ Falta Precio contratado","✓ OK")))</x:f>
      </x:c>
    </x:row>
    <x:row r="141">
      <x:c r="A141" s="61"/>
      <x:c r="B141" s="59"/>
      <x:c r="C141" s="24"/>
      <x:c r="D141" s="59"/>
      <x:c r="E141" s="59"/>
      <x:c r="F141" s="59"/>
      <x:c r="G141" s="59"/>
      <x:c r="H141" s="59"/>
      <x:c r="I141" s="63"/>
      <x:c r="J141" s="63"/>
      <x:c r="K141" s="24"/>
      <x:c r="L141" s="65"/>
      <x:c r="M141" s="24"/>
      <x:c r="N141" s="24"/>
      <x:c r="O141" s="59"/>
      <x:c r="P141" s="71"/>
      <x:c r="Q141" s="67" t="str">
        <x:f>IF(B141="","",SUMIFS(Pagos!$G$6:$G$305,Pagos!$B$6:$B$305,B141,Pagos!$J$6:$J$305,"Pagado"))</x:f>
      </x:c>
      <x:c r="R141" s="67" t="str">
        <x:f>IF(B141="","",MAX(0,IF(J141&lt;&gt;"",J141,IF(I141&lt;&gt;"",I141,0))-Q141))</x:f>
      </x:c>
      <x:c r="S141" s="69" t="str">
        <x:f>IF(B141="","",IFERROR(MINIFS(Pagos!$E$6:$E$305,Pagos!$B$6:$B$305,B141,Pagos!$J$6:$J$305,"Pendiente",Pagos!$E$6:$E$305,"&gt;="&amp;TODAY()),""))</x:f>
      </x:c>
      <x:c r="T141" s="61" t="str">
        <x:f>IF(B141="","",IF(COUNTIFS(Pagos!$B$6:$B$305,B141,Pagos!$J$6:$J$305,"Pendiente",Pagos!$E$6:$E$305,"&lt;"&amp;TODAY())&gt;0,"Vencido",IF(Q141=0,"Sin pagos",IF(R141=0,"Pagado","Pago parcial"))))</x:f>
      </x:c>
      <x:c r="U141" s="87" t="str">
        <x:f>IF(B141="","",IF(AND(M141="Cotizado",J141&lt;&gt;""),"⚠ Quitá Precio contratado o cambiá Estado",IF(AND(OR(M141="Reservado",M141="Contratado",M141="Finalizado"),J141=""),"⚠ Falta Precio contratado","✓ OK")))</x:f>
      </x:c>
    </x:row>
    <x:row r="142">
      <x:c r="A142" s="61"/>
      <x:c r="B142" s="59"/>
      <x:c r="C142" s="24"/>
      <x:c r="D142" s="59"/>
      <x:c r="E142" s="59"/>
      <x:c r="F142" s="59"/>
      <x:c r="G142" s="59"/>
      <x:c r="H142" s="59"/>
      <x:c r="I142" s="63"/>
      <x:c r="J142" s="63"/>
      <x:c r="K142" s="24"/>
      <x:c r="L142" s="65"/>
      <x:c r="M142" s="24"/>
      <x:c r="N142" s="24"/>
      <x:c r="O142" s="59"/>
      <x:c r="P142" s="71"/>
      <x:c r="Q142" s="67" t="str">
        <x:f>IF(B142="","",SUMIFS(Pagos!$G$6:$G$305,Pagos!$B$6:$B$305,B142,Pagos!$J$6:$J$305,"Pagado"))</x:f>
      </x:c>
      <x:c r="R142" s="67" t="str">
        <x:f>IF(B142="","",MAX(0,IF(J142&lt;&gt;"",J142,IF(I142&lt;&gt;"",I142,0))-Q142))</x:f>
      </x:c>
      <x:c r="S142" s="69" t="str">
        <x:f>IF(B142="","",IFERROR(MINIFS(Pagos!$E$6:$E$305,Pagos!$B$6:$B$305,B142,Pagos!$J$6:$J$305,"Pendiente",Pagos!$E$6:$E$305,"&gt;="&amp;TODAY()),""))</x:f>
      </x:c>
      <x:c r="T142" s="61" t="str">
        <x:f>IF(B142="","",IF(COUNTIFS(Pagos!$B$6:$B$305,B142,Pagos!$J$6:$J$305,"Pendiente",Pagos!$E$6:$E$305,"&lt;"&amp;TODAY())&gt;0,"Vencido",IF(Q142=0,"Sin pagos",IF(R142=0,"Pagado","Pago parcial"))))</x:f>
      </x:c>
      <x:c r="U142" s="87" t="str">
        <x:f>IF(B142="","",IF(AND(M142="Cotizado",J142&lt;&gt;""),"⚠ Quitá Precio contratado o cambiá Estado",IF(AND(OR(M142="Reservado",M142="Contratado",M142="Finalizado"),J142=""),"⚠ Falta Precio contratado","✓ OK")))</x:f>
      </x:c>
    </x:row>
    <x:row r="143">
      <x:c r="A143" s="61"/>
      <x:c r="B143" s="59"/>
      <x:c r="C143" s="24"/>
      <x:c r="D143" s="59"/>
      <x:c r="E143" s="59"/>
      <x:c r="F143" s="59"/>
      <x:c r="G143" s="59"/>
      <x:c r="H143" s="59"/>
      <x:c r="I143" s="63"/>
      <x:c r="J143" s="63"/>
      <x:c r="K143" s="24"/>
      <x:c r="L143" s="65"/>
      <x:c r="M143" s="24"/>
      <x:c r="N143" s="24"/>
      <x:c r="O143" s="59"/>
      <x:c r="P143" s="71"/>
      <x:c r="Q143" s="67" t="str">
        <x:f>IF(B143="","",SUMIFS(Pagos!$G$6:$G$305,Pagos!$B$6:$B$305,B143,Pagos!$J$6:$J$305,"Pagado"))</x:f>
      </x:c>
      <x:c r="R143" s="67" t="str">
        <x:f>IF(B143="","",MAX(0,IF(J143&lt;&gt;"",J143,IF(I143&lt;&gt;"",I143,0))-Q143))</x:f>
      </x:c>
      <x:c r="S143" s="69" t="str">
        <x:f>IF(B143="","",IFERROR(MINIFS(Pagos!$E$6:$E$305,Pagos!$B$6:$B$305,B143,Pagos!$J$6:$J$305,"Pendiente",Pagos!$E$6:$E$305,"&gt;="&amp;TODAY()),""))</x:f>
      </x:c>
      <x:c r="T143" s="61" t="str">
        <x:f>IF(B143="","",IF(COUNTIFS(Pagos!$B$6:$B$305,B143,Pagos!$J$6:$J$305,"Pendiente",Pagos!$E$6:$E$305,"&lt;"&amp;TODAY())&gt;0,"Vencido",IF(Q143=0,"Sin pagos",IF(R143=0,"Pagado","Pago parcial"))))</x:f>
      </x:c>
      <x:c r="U143" s="87" t="str">
        <x:f>IF(B143="","",IF(AND(M143="Cotizado",J143&lt;&gt;""),"⚠ Quitá Precio contratado o cambiá Estado",IF(AND(OR(M143="Reservado",M143="Contratado",M143="Finalizado"),J143=""),"⚠ Falta Precio contratado","✓ OK")))</x:f>
      </x:c>
    </x:row>
    <x:row r="144">
      <x:c r="A144" s="61"/>
      <x:c r="B144" s="59"/>
      <x:c r="C144" s="24"/>
      <x:c r="D144" s="59"/>
      <x:c r="E144" s="59"/>
      <x:c r="F144" s="59"/>
      <x:c r="G144" s="59"/>
      <x:c r="H144" s="59"/>
      <x:c r="I144" s="63"/>
      <x:c r="J144" s="63"/>
      <x:c r="K144" s="24"/>
      <x:c r="L144" s="65"/>
      <x:c r="M144" s="24"/>
      <x:c r="N144" s="24"/>
      <x:c r="O144" s="59"/>
      <x:c r="P144" s="71"/>
      <x:c r="Q144" s="67" t="str">
        <x:f>IF(B144="","",SUMIFS(Pagos!$G$6:$G$305,Pagos!$B$6:$B$305,B144,Pagos!$J$6:$J$305,"Pagado"))</x:f>
      </x:c>
      <x:c r="R144" s="67" t="str">
        <x:f>IF(B144="","",MAX(0,IF(J144&lt;&gt;"",J144,IF(I144&lt;&gt;"",I144,0))-Q144))</x:f>
      </x:c>
      <x:c r="S144" s="69" t="str">
        <x:f>IF(B144="","",IFERROR(MINIFS(Pagos!$E$6:$E$305,Pagos!$B$6:$B$305,B144,Pagos!$J$6:$J$305,"Pendiente",Pagos!$E$6:$E$305,"&gt;="&amp;TODAY()),""))</x:f>
      </x:c>
      <x:c r="T144" s="61" t="str">
        <x:f>IF(B144="","",IF(COUNTIFS(Pagos!$B$6:$B$305,B144,Pagos!$J$6:$J$305,"Pendiente",Pagos!$E$6:$E$305,"&lt;"&amp;TODAY())&gt;0,"Vencido",IF(Q144=0,"Sin pagos",IF(R144=0,"Pagado","Pago parcial"))))</x:f>
      </x:c>
      <x:c r="U144" s="87" t="str">
        <x:f>IF(B144="","",IF(AND(M144="Cotizado",J144&lt;&gt;""),"⚠ Quitá Precio contratado o cambiá Estado",IF(AND(OR(M144="Reservado",M144="Contratado",M144="Finalizado"),J144=""),"⚠ Falta Precio contratado","✓ OK")))</x:f>
      </x:c>
    </x:row>
    <x:row r="145">
      <x:c r="A145" s="61"/>
      <x:c r="B145" s="59"/>
      <x:c r="C145" s="24"/>
      <x:c r="D145" s="59"/>
      <x:c r="E145" s="59"/>
      <x:c r="F145" s="59"/>
      <x:c r="G145" s="59"/>
      <x:c r="H145" s="59"/>
      <x:c r="I145" s="63"/>
      <x:c r="J145" s="63"/>
      <x:c r="K145" s="24"/>
      <x:c r="L145" s="65"/>
      <x:c r="M145" s="24"/>
      <x:c r="N145" s="24"/>
      <x:c r="O145" s="59"/>
      <x:c r="P145" s="71"/>
      <x:c r="Q145" s="67" t="str">
        <x:f>IF(B145="","",SUMIFS(Pagos!$G$6:$G$305,Pagos!$B$6:$B$305,B145,Pagos!$J$6:$J$305,"Pagado"))</x:f>
      </x:c>
      <x:c r="R145" s="67" t="str">
        <x:f>IF(B145="","",MAX(0,IF(J145&lt;&gt;"",J145,IF(I145&lt;&gt;"",I145,0))-Q145))</x:f>
      </x:c>
      <x:c r="S145" s="69" t="str">
        <x:f>IF(B145="","",IFERROR(MINIFS(Pagos!$E$6:$E$305,Pagos!$B$6:$B$305,B145,Pagos!$J$6:$J$305,"Pendiente",Pagos!$E$6:$E$305,"&gt;="&amp;TODAY()),""))</x:f>
      </x:c>
      <x:c r="T145" s="61" t="str">
        <x:f>IF(B145="","",IF(COUNTIFS(Pagos!$B$6:$B$305,B145,Pagos!$J$6:$J$305,"Pendiente",Pagos!$E$6:$E$305,"&lt;"&amp;TODAY())&gt;0,"Vencido",IF(Q145=0,"Sin pagos",IF(R145=0,"Pagado","Pago parcial"))))</x:f>
      </x:c>
      <x:c r="U145" s="87" t="str">
        <x:f>IF(B145="","",IF(AND(M145="Cotizado",J145&lt;&gt;""),"⚠ Quitá Precio contratado o cambiá Estado",IF(AND(OR(M145="Reservado",M145="Contratado",M145="Finalizado"),J145=""),"⚠ Falta Precio contratado","✓ OK")))</x:f>
      </x:c>
    </x:row>
    <x:row r="146">
      <x:c r="A146" s="61"/>
      <x:c r="B146" s="59"/>
      <x:c r="C146" s="24"/>
      <x:c r="D146" s="59"/>
      <x:c r="E146" s="59"/>
      <x:c r="F146" s="59"/>
      <x:c r="G146" s="59"/>
      <x:c r="H146" s="59"/>
      <x:c r="I146" s="63"/>
      <x:c r="J146" s="63"/>
      <x:c r="K146" s="24"/>
      <x:c r="L146" s="65"/>
      <x:c r="M146" s="24"/>
      <x:c r="N146" s="24"/>
      <x:c r="O146" s="59"/>
      <x:c r="P146" s="71"/>
      <x:c r="Q146" s="67" t="str">
        <x:f>IF(B146="","",SUMIFS(Pagos!$G$6:$G$305,Pagos!$B$6:$B$305,B146,Pagos!$J$6:$J$305,"Pagado"))</x:f>
      </x:c>
      <x:c r="R146" s="67" t="str">
        <x:f>IF(B146="","",MAX(0,IF(J146&lt;&gt;"",J146,IF(I146&lt;&gt;"",I146,0))-Q146))</x:f>
      </x:c>
      <x:c r="S146" s="69" t="str">
        <x:f>IF(B146="","",IFERROR(MINIFS(Pagos!$E$6:$E$305,Pagos!$B$6:$B$305,B146,Pagos!$J$6:$J$305,"Pendiente",Pagos!$E$6:$E$305,"&gt;="&amp;TODAY()),""))</x:f>
      </x:c>
      <x:c r="T146" s="61" t="str">
        <x:f>IF(B146="","",IF(COUNTIFS(Pagos!$B$6:$B$305,B146,Pagos!$J$6:$J$305,"Pendiente",Pagos!$E$6:$E$305,"&lt;"&amp;TODAY())&gt;0,"Vencido",IF(Q146=0,"Sin pagos",IF(R146=0,"Pagado","Pago parcial"))))</x:f>
      </x:c>
      <x:c r="U146" s="87" t="str">
        <x:f>IF(B146="","",IF(AND(M146="Cotizado",J146&lt;&gt;""),"⚠ Quitá Precio contratado o cambiá Estado",IF(AND(OR(M146="Reservado",M146="Contratado",M146="Finalizado"),J146=""),"⚠ Falta Precio contratado","✓ OK")))</x:f>
      </x:c>
    </x:row>
    <x:row r="147">
      <x:c r="A147" s="61"/>
      <x:c r="B147" s="59"/>
      <x:c r="C147" s="24"/>
      <x:c r="D147" s="59"/>
      <x:c r="E147" s="59"/>
      <x:c r="F147" s="59"/>
      <x:c r="G147" s="59"/>
      <x:c r="H147" s="59"/>
      <x:c r="I147" s="63"/>
      <x:c r="J147" s="63"/>
      <x:c r="K147" s="24"/>
      <x:c r="L147" s="65"/>
      <x:c r="M147" s="24"/>
      <x:c r="N147" s="24"/>
      <x:c r="O147" s="59"/>
      <x:c r="P147" s="71"/>
      <x:c r="Q147" s="67" t="str">
        <x:f>IF(B147="","",SUMIFS(Pagos!$G$6:$G$305,Pagos!$B$6:$B$305,B147,Pagos!$J$6:$J$305,"Pagado"))</x:f>
      </x:c>
      <x:c r="R147" s="67" t="str">
        <x:f>IF(B147="","",MAX(0,IF(J147&lt;&gt;"",J147,IF(I147&lt;&gt;"",I147,0))-Q147))</x:f>
      </x:c>
      <x:c r="S147" s="69" t="str">
        <x:f>IF(B147="","",IFERROR(MINIFS(Pagos!$E$6:$E$305,Pagos!$B$6:$B$305,B147,Pagos!$J$6:$J$305,"Pendiente",Pagos!$E$6:$E$305,"&gt;="&amp;TODAY()),""))</x:f>
      </x:c>
      <x:c r="T147" s="61" t="str">
        <x:f>IF(B147="","",IF(COUNTIFS(Pagos!$B$6:$B$305,B147,Pagos!$J$6:$J$305,"Pendiente",Pagos!$E$6:$E$305,"&lt;"&amp;TODAY())&gt;0,"Vencido",IF(Q147=0,"Sin pagos",IF(R147=0,"Pagado","Pago parcial"))))</x:f>
      </x:c>
      <x:c r="U147" s="87" t="str">
        <x:f>IF(B147="","",IF(AND(M147="Cotizado",J147&lt;&gt;""),"⚠ Quitá Precio contratado o cambiá Estado",IF(AND(OR(M147="Reservado",M147="Contratado",M147="Finalizado"),J147=""),"⚠ Falta Precio contratado","✓ OK")))</x:f>
      </x:c>
    </x:row>
    <x:row r="148">
      <x:c r="A148" s="61"/>
      <x:c r="B148" s="59"/>
      <x:c r="C148" s="24"/>
      <x:c r="D148" s="59"/>
      <x:c r="E148" s="59"/>
      <x:c r="F148" s="59"/>
      <x:c r="G148" s="59"/>
      <x:c r="H148" s="59"/>
      <x:c r="I148" s="63"/>
      <x:c r="J148" s="63"/>
      <x:c r="K148" s="24"/>
      <x:c r="L148" s="65"/>
      <x:c r="M148" s="24"/>
      <x:c r="N148" s="24"/>
      <x:c r="O148" s="59"/>
      <x:c r="P148" s="71"/>
      <x:c r="Q148" s="67" t="str">
        <x:f>IF(B148="","",SUMIFS(Pagos!$G$6:$G$305,Pagos!$B$6:$B$305,B148,Pagos!$J$6:$J$305,"Pagado"))</x:f>
      </x:c>
      <x:c r="R148" s="67" t="str">
        <x:f>IF(B148="","",MAX(0,IF(J148&lt;&gt;"",J148,IF(I148&lt;&gt;"",I148,0))-Q148))</x:f>
      </x:c>
      <x:c r="S148" s="69" t="str">
        <x:f>IF(B148="","",IFERROR(MINIFS(Pagos!$E$6:$E$305,Pagos!$B$6:$B$305,B148,Pagos!$J$6:$J$305,"Pendiente",Pagos!$E$6:$E$305,"&gt;="&amp;TODAY()),""))</x:f>
      </x:c>
      <x:c r="T148" s="61" t="str">
        <x:f>IF(B148="","",IF(COUNTIFS(Pagos!$B$6:$B$305,B148,Pagos!$J$6:$J$305,"Pendiente",Pagos!$E$6:$E$305,"&lt;"&amp;TODAY())&gt;0,"Vencido",IF(Q148=0,"Sin pagos",IF(R148=0,"Pagado","Pago parcial"))))</x:f>
      </x:c>
      <x:c r="U148" s="87" t="str">
        <x:f>IF(B148="","",IF(AND(M148="Cotizado",J148&lt;&gt;""),"⚠ Quitá Precio contratado o cambiá Estado",IF(AND(OR(M148="Reservado",M148="Contratado",M148="Finalizado"),J148=""),"⚠ Falta Precio contratado","✓ OK")))</x:f>
      </x:c>
    </x:row>
    <x:row r="149">
      <x:c r="A149" s="61"/>
      <x:c r="B149" s="59"/>
      <x:c r="C149" s="24"/>
      <x:c r="D149" s="59"/>
      <x:c r="E149" s="59"/>
      <x:c r="F149" s="59"/>
      <x:c r="G149" s="59"/>
      <x:c r="H149" s="59"/>
      <x:c r="I149" s="63"/>
      <x:c r="J149" s="63"/>
      <x:c r="K149" s="24"/>
      <x:c r="L149" s="65"/>
      <x:c r="M149" s="24"/>
      <x:c r="N149" s="24"/>
      <x:c r="O149" s="59"/>
      <x:c r="P149" s="71"/>
      <x:c r="Q149" s="67" t="str">
        <x:f>IF(B149="","",SUMIFS(Pagos!$G$6:$G$305,Pagos!$B$6:$B$305,B149,Pagos!$J$6:$J$305,"Pagado"))</x:f>
      </x:c>
      <x:c r="R149" s="67" t="str">
        <x:f>IF(B149="","",MAX(0,IF(J149&lt;&gt;"",J149,IF(I149&lt;&gt;"",I149,0))-Q149))</x:f>
      </x:c>
      <x:c r="S149" s="69" t="str">
        <x:f>IF(B149="","",IFERROR(MINIFS(Pagos!$E$6:$E$305,Pagos!$B$6:$B$305,B149,Pagos!$J$6:$J$305,"Pendiente",Pagos!$E$6:$E$305,"&gt;="&amp;TODAY()),""))</x:f>
      </x:c>
      <x:c r="T149" s="61" t="str">
        <x:f>IF(B149="","",IF(COUNTIFS(Pagos!$B$6:$B$305,B149,Pagos!$J$6:$J$305,"Pendiente",Pagos!$E$6:$E$305,"&lt;"&amp;TODAY())&gt;0,"Vencido",IF(Q149=0,"Sin pagos",IF(R149=0,"Pagado","Pago parcial"))))</x:f>
      </x:c>
      <x:c r="U149" s="87" t="str">
        <x:f>IF(B149="","",IF(AND(M149="Cotizado",J149&lt;&gt;""),"⚠ Quitá Precio contratado o cambiá Estado",IF(AND(OR(M149="Reservado",M149="Contratado",M149="Finalizado"),J149=""),"⚠ Falta Precio contratado","✓ OK")))</x:f>
      </x:c>
    </x:row>
    <x:row r="150">
      <x:c r="A150" s="61"/>
      <x:c r="B150" s="59"/>
      <x:c r="C150" s="24"/>
      <x:c r="D150" s="59"/>
      <x:c r="E150" s="59"/>
      <x:c r="F150" s="59"/>
      <x:c r="G150" s="59"/>
      <x:c r="H150" s="59"/>
      <x:c r="I150" s="63"/>
      <x:c r="J150" s="63"/>
      <x:c r="K150" s="24"/>
      <x:c r="L150" s="65"/>
      <x:c r="M150" s="24"/>
      <x:c r="N150" s="24"/>
      <x:c r="O150" s="59"/>
      <x:c r="P150" s="71"/>
      <x:c r="Q150" s="67" t="str">
        <x:f>IF(B150="","",SUMIFS(Pagos!$G$6:$G$305,Pagos!$B$6:$B$305,B150,Pagos!$J$6:$J$305,"Pagado"))</x:f>
      </x:c>
      <x:c r="R150" s="67" t="str">
        <x:f>IF(B150="","",MAX(0,IF(J150&lt;&gt;"",J150,IF(I150&lt;&gt;"",I150,0))-Q150))</x:f>
      </x:c>
      <x:c r="S150" s="69" t="str">
        <x:f>IF(B150="","",IFERROR(MINIFS(Pagos!$E$6:$E$305,Pagos!$B$6:$B$305,B150,Pagos!$J$6:$J$305,"Pendiente",Pagos!$E$6:$E$305,"&gt;="&amp;TODAY()),""))</x:f>
      </x:c>
      <x:c r="T150" s="61" t="str">
        <x:f>IF(B150="","",IF(COUNTIFS(Pagos!$B$6:$B$305,B150,Pagos!$J$6:$J$305,"Pendiente",Pagos!$E$6:$E$305,"&lt;"&amp;TODAY())&gt;0,"Vencido",IF(Q150=0,"Sin pagos",IF(R150=0,"Pagado","Pago parcial"))))</x:f>
      </x:c>
      <x:c r="U150" s="87" t="str">
        <x:f>IF(B150="","",IF(AND(M150="Cotizado",J150&lt;&gt;""),"⚠ Quitá Precio contratado o cambiá Estado",IF(AND(OR(M150="Reservado",M150="Contratado",M150="Finalizado"),J150=""),"⚠ Falta Precio contratado","✓ OK")))</x:f>
      </x:c>
    </x:row>
    <x:row r="151">
      <x:c r="A151" s="61"/>
      <x:c r="B151" s="59"/>
      <x:c r="C151" s="24"/>
      <x:c r="D151" s="59"/>
      <x:c r="E151" s="59"/>
      <x:c r="F151" s="59"/>
      <x:c r="G151" s="59"/>
      <x:c r="H151" s="59"/>
      <x:c r="I151" s="63"/>
      <x:c r="J151" s="63"/>
      <x:c r="K151" s="24"/>
      <x:c r="L151" s="65"/>
      <x:c r="M151" s="24"/>
      <x:c r="N151" s="24"/>
      <x:c r="O151" s="59"/>
      <x:c r="P151" s="71"/>
      <x:c r="Q151" s="67" t="str">
        <x:f>IF(B151="","",SUMIFS(Pagos!$G$6:$G$305,Pagos!$B$6:$B$305,B151,Pagos!$J$6:$J$305,"Pagado"))</x:f>
      </x:c>
      <x:c r="R151" s="67" t="str">
        <x:f>IF(B151="","",MAX(0,IF(J151&lt;&gt;"",J151,IF(I151&lt;&gt;"",I151,0))-Q151))</x:f>
      </x:c>
      <x:c r="S151" s="69" t="str">
        <x:f>IF(B151="","",IFERROR(MINIFS(Pagos!$E$6:$E$305,Pagos!$B$6:$B$305,B151,Pagos!$J$6:$J$305,"Pendiente",Pagos!$E$6:$E$305,"&gt;="&amp;TODAY()),""))</x:f>
      </x:c>
      <x:c r="T151" s="61" t="str">
        <x:f>IF(B151="","",IF(COUNTIFS(Pagos!$B$6:$B$305,B151,Pagos!$J$6:$J$305,"Pendiente",Pagos!$E$6:$E$305,"&lt;"&amp;TODAY())&gt;0,"Vencido",IF(Q151=0,"Sin pagos",IF(R151=0,"Pagado","Pago parcial"))))</x:f>
      </x:c>
      <x:c r="U151" s="87" t="str">
        <x:f>IF(B151="","",IF(AND(M151="Cotizado",J151&lt;&gt;""),"⚠ Quitá Precio contratado o cambiá Estado",IF(AND(OR(M151="Reservado",M151="Contratado",M151="Finalizado"),J151=""),"⚠ Falta Precio contratado","✓ OK")))</x:f>
      </x:c>
    </x:row>
    <x:row r="152">
      <x:c r="A152" s="61"/>
      <x:c r="B152" s="59"/>
      <x:c r="C152" s="24"/>
      <x:c r="D152" s="59"/>
      <x:c r="E152" s="59"/>
      <x:c r="F152" s="59"/>
      <x:c r="G152" s="59"/>
      <x:c r="H152" s="59"/>
      <x:c r="I152" s="63"/>
      <x:c r="J152" s="63"/>
      <x:c r="K152" s="24"/>
      <x:c r="L152" s="65"/>
      <x:c r="M152" s="24"/>
      <x:c r="N152" s="24"/>
      <x:c r="O152" s="59"/>
      <x:c r="P152" s="71"/>
      <x:c r="Q152" s="67" t="str">
        <x:f>IF(B152="","",SUMIFS(Pagos!$G$6:$G$305,Pagos!$B$6:$B$305,B152,Pagos!$J$6:$J$305,"Pagado"))</x:f>
      </x:c>
      <x:c r="R152" s="67" t="str">
        <x:f>IF(B152="","",MAX(0,IF(J152&lt;&gt;"",J152,IF(I152&lt;&gt;"",I152,0))-Q152))</x:f>
      </x:c>
      <x:c r="S152" s="69" t="str">
        <x:f>IF(B152="","",IFERROR(MINIFS(Pagos!$E$6:$E$305,Pagos!$B$6:$B$305,B152,Pagos!$J$6:$J$305,"Pendiente",Pagos!$E$6:$E$305,"&gt;="&amp;TODAY()),""))</x:f>
      </x:c>
      <x:c r="T152" s="61" t="str">
        <x:f>IF(B152="","",IF(COUNTIFS(Pagos!$B$6:$B$305,B152,Pagos!$J$6:$J$305,"Pendiente",Pagos!$E$6:$E$305,"&lt;"&amp;TODAY())&gt;0,"Vencido",IF(Q152=0,"Sin pagos",IF(R152=0,"Pagado","Pago parcial"))))</x:f>
      </x:c>
      <x:c r="U152" s="87" t="str">
        <x:f>IF(B152="","",IF(AND(M152="Cotizado",J152&lt;&gt;""),"⚠ Quitá Precio contratado o cambiá Estado",IF(AND(OR(M152="Reservado",M152="Contratado",M152="Finalizado"),J152=""),"⚠ Falta Precio contratado","✓ OK")))</x:f>
      </x:c>
    </x:row>
    <x:row r="153">
      <x:c r="A153" s="61"/>
      <x:c r="B153" s="59"/>
      <x:c r="C153" s="24"/>
      <x:c r="D153" s="59"/>
      <x:c r="E153" s="59"/>
      <x:c r="F153" s="59"/>
      <x:c r="G153" s="59"/>
      <x:c r="H153" s="59"/>
      <x:c r="I153" s="63"/>
      <x:c r="J153" s="63"/>
      <x:c r="K153" s="24"/>
      <x:c r="L153" s="65"/>
      <x:c r="M153" s="24"/>
      <x:c r="N153" s="24"/>
      <x:c r="O153" s="59"/>
      <x:c r="P153" s="71"/>
      <x:c r="Q153" s="67" t="str">
        <x:f>IF(B153="","",SUMIFS(Pagos!$G$6:$G$305,Pagos!$B$6:$B$305,B153,Pagos!$J$6:$J$305,"Pagado"))</x:f>
      </x:c>
      <x:c r="R153" s="67" t="str">
        <x:f>IF(B153="","",MAX(0,IF(J153&lt;&gt;"",J153,IF(I153&lt;&gt;"",I153,0))-Q153))</x:f>
      </x:c>
      <x:c r="S153" s="69" t="str">
        <x:f>IF(B153="","",IFERROR(MINIFS(Pagos!$E$6:$E$305,Pagos!$B$6:$B$305,B153,Pagos!$J$6:$J$305,"Pendiente",Pagos!$E$6:$E$305,"&gt;="&amp;TODAY()),""))</x:f>
      </x:c>
      <x:c r="T153" s="61" t="str">
        <x:f>IF(B153="","",IF(COUNTIFS(Pagos!$B$6:$B$305,B153,Pagos!$J$6:$J$305,"Pendiente",Pagos!$E$6:$E$305,"&lt;"&amp;TODAY())&gt;0,"Vencido",IF(Q153=0,"Sin pagos",IF(R153=0,"Pagado","Pago parcial"))))</x:f>
      </x:c>
      <x:c r="U153" s="87" t="str">
        <x:f>IF(B153="","",IF(AND(M153="Cotizado",J153&lt;&gt;""),"⚠ Quitá Precio contratado o cambiá Estado",IF(AND(OR(M153="Reservado",M153="Contratado",M153="Finalizado"),J153=""),"⚠ Falta Precio contratado","✓ OK")))</x:f>
      </x:c>
    </x:row>
    <x:row r="154">
      <x:c r="A154" s="61"/>
      <x:c r="B154" s="59"/>
      <x:c r="C154" s="24"/>
      <x:c r="D154" s="59"/>
      <x:c r="E154" s="59"/>
      <x:c r="F154" s="59"/>
      <x:c r="G154" s="59"/>
      <x:c r="H154" s="59"/>
      <x:c r="I154" s="63"/>
      <x:c r="J154" s="63"/>
      <x:c r="K154" s="24"/>
      <x:c r="L154" s="65"/>
      <x:c r="M154" s="24"/>
      <x:c r="N154" s="24"/>
      <x:c r="O154" s="59"/>
      <x:c r="P154" s="71"/>
      <x:c r="Q154" s="67" t="str">
        <x:f>IF(B154="","",SUMIFS(Pagos!$G$6:$G$305,Pagos!$B$6:$B$305,B154,Pagos!$J$6:$J$305,"Pagado"))</x:f>
      </x:c>
      <x:c r="R154" s="67" t="str">
        <x:f>IF(B154="","",MAX(0,IF(J154&lt;&gt;"",J154,IF(I154&lt;&gt;"",I154,0))-Q154))</x:f>
      </x:c>
      <x:c r="S154" s="69" t="str">
        <x:f>IF(B154="","",IFERROR(MINIFS(Pagos!$E$6:$E$305,Pagos!$B$6:$B$305,B154,Pagos!$J$6:$J$305,"Pendiente",Pagos!$E$6:$E$305,"&gt;="&amp;TODAY()),""))</x:f>
      </x:c>
      <x:c r="T154" s="61" t="str">
        <x:f>IF(B154="","",IF(COUNTIFS(Pagos!$B$6:$B$305,B154,Pagos!$J$6:$J$305,"Pendiente",Pagos!$E$6:$E$305,"&lt;"&amp;TODAY())&gt;0,"Vencido",IF(Q154=0,"Sin pagos",IF(R154=0,"Pagado","Pago parcial"))))</x:f>
      </x:c>
      <x:c r="U154" s="87" t="str">
        <x:f>IF(B154="","",IF(AND(M154="Cotizado",J154&lt;&gt;""),"⚠ Quitá Precio contratado o cambiá Estado",IF(AND(OR(M154="Reservado",M154="Contratado",M154="Finalizado"),J154=""),"⚠ Falta Precio contratado","✓ OK")))</x:f>
      </x:c>
    </x:row>
    <x:row r="155">
      <x:c r="A155" s="61"/>
      <x:c r="B155" s="59"/>
      <x:c r="C155" s="24"/>
      <x:c r="D155" s="59"/>
      <x:c r="E155" s="59"/>
      <x:c r="F155" s="59"/>
      <x:c r="G155" s="59"/>
      <x:c r="H155" s="59"/>
      <x:c r="I155" s="63"/>
      <x:c r="J155" s="63"/>
      <x:c r="K155" s="24"/>
      <x:c r="L155" s="65"/>
      <x:c r="M155" s="24"/>
      <x:c r="N155" s="24"/>
      <x:c r="O155" s="59"/>
      <x:c r="P155" s="71"/>
      <x:c r="Q155" s="67" t="str">
        <x:f>IF(B155="","",SUMIFS(Pagos!$G$6:$G$305,Pagos!$B$6:$B$305,B155,Pagos!$J$6:$J$305,"Pagado"))</x:f>
      </x:c>
      <x:c r="R155" s="67" t="str">
        <x:f>IF(B155="","",MAX(0,IF(J155&lt;&gt;"",J155,IF(I155&lt;&gt;"",I155,0))-Q155))</x:f>
      </x:c>
      <x:c r="S155" s="69" t="str">
        <x:f>IF(B155="","",IFERROR(MINIFS(Pagos!$E$6:$E$305,Pagos!$B$6:$B$305,B155,Pagos!$J$6:$J$305,"Pendiente",Pagos!$E$6:$E$305,"&gt;="&amp;TODAY()),""))</x:f>
      </x:c>
      <x:c r="T155" s="61" t="str">
        <x:f>IF(B155="","",IF(COUNTIFS(Pagos!$B$6:$B$305,B155,Pagos!$J$6:$J$305,"Pendiente",Pagos!$E$6:$E$305,"&lt;"&amp;TODAY())&gt;0,"Vencido",IF(Q155=0,"Sin pagos",IF(R155=0,"Pagado","Pago parcial"))))</x:f>
      </x:c>
      <x:c r="U155" s="87" t="str">
        <x:f>IF(B155="","",IF(AND(M155="Cotizado",J155&lt;&gt;""),"⚠ Quitá Precio contratado o cambiá Estado",IF(AND(OR(M155="Reservado",M155="Contratado",M155="Finalizado"),J155=""),"⚠ Falta Precio contratado","✓ OK")))</x:f>
      </x:c>
    </x:row>
    <x:row r="156">
      <x:c r="A156" s="61"/>
      <x:c r="B156" s="59"/>
      <x:c r="C156" s="24"/>
      <x:c r="D156" s="59"/>
      <x:c r="E156" s="59"/>
      <x:c r="F156" s="59"/>
      <x:c r="G156" s="59"/>
      <x:c r="H156" s="59"/>
      <x:c r="I156" s="63"/>
      <x:c r="J156" s="63"/>
      <x:c r="K156" s="24"/>
      <x:c r="L156" s="65"/>
      <x:c r="M156" s="24"/>
      <x:c r="N156" s="24"/>
      <x:c r="O156" s="59"/>
      <x:c r="P156" s="71"/>
      <x:c r="Q156" s="67" t="str">
        <x:f>IF(B156="","",SUMIFS(Pagos!$G$6:$G$305,Pagos!$B$6:$B$305,B156,Pagos!$J$6:$J$305,"Pagado"))</x:f>
      </x:c>
      <x:c r="R156" s="67" t="str">
        <x:f>IF(B156="","",MAX(0,IF(J156&lt;&gt;"",J156,IF(I156&lt;&gt;"",I156,0))-Q156))</x:f>
      </x:c>
      <x:c r="S156" s="69" t="str">
        <x:f>IF(B156="","",IFERROR(MINIFS(Pagos!$E$6:$E$305,Pagos!$B$6:$B$305,B156,Pagos!$J$6:$J$305,"Pendiente",Pagos!$E$6:$E$305,"&gt;="&amp;TODAY()),""))</x:f>
      </x:c>
      <x:c r="T156" s="61" t="str">
        <x:f>IF(B156="","",IF(COUNTIFS(Pagos!$B$6:$B$305,B156,Pagos!$J$6:$J$305,"Pendiente",Pagos!$E$6:$E$305,"&lt;"&amp;TODAY())&gt;0,"Vencido",IF(Q156=0,"Sin pagos",IF(R156=0,"Pagado","Pago parcial"))))</x:f>
      </x:c>
      <x:c r="U156" s="87" t="str">
        <x:f>IF(B156="","",IF(AND(M156="Cotizado",J156&lt;&gt;""),"⚠ Quitá Precio contratado o cambiá Estado",IF(AND(OR(M156="Reservado",M156="Contratado",M156="Finalizado"),J156=""),"⚠ Falta Precio contratado","✓ OK")))</x:f>
      </x:c>
    </x:row>
    <x:row r="157">
      <x:c r="A157" s="61"/>
      <x:c r="B157" s="59"/>
      <x:c r="C157" s="24"/>
      <x:c r="D157" s="59"/>
      <x:c r="E157" s="59"/>
      <x:c r="F157" s="59"/>
      <x:c r="G157" s="59"/>
      <x:c r="H157" s="59"/>
      <x:c r="I157" s="63"/>
      <x:c r="J157" s="63"/>
      <x:c r="K157" s="24"/>
      <x:c r="L157" s="65"/>
      <x:c r="M157" s="24"/>
      <x:c r="N157" s="24"/>
      <x:c r="O157" s="59"/>
      <x:c r="P157" s="71"/>
      <x:c r="Q157" s="67" t="str">
        <x:f>IF(B157="","",SUMIFS(Pagos!$G$6:$G$305,Pagos!$B$6:$B$305,B157,Pagos!$J$6:$J$305,"Pagado"))</x:f>
      </x:c>
      <x:c r="R157" s="67" t="str">
        <x:f>IF(B157="","",MAX(0,IF(J157&lt;&gt;"",J157,IF(I157&lt;&gt;"",I157,0))-Q157))</x:f>
      </x:c>
      <x:c r="S157" s="69" t="str">
        <x:f>IF(B157="","",IFERROR(MINIFS(Pagos!$E$6:$E$305,Pagos!$B$6:$B$305,B157,Pagos!$J$6:$J$305,"Pendiente",Pagos!$E$6:$E$305,"&gt;="&amp;TODAY()),""))</x:f>
      </x:c>
      <x:c r="T157" s="61" t="str">
        <x:f>IF(B157="","",IF(COUNTIFS(Pagos!$B$6:$B$305,B157,Pagos!$J$6:$J$305,"Pendiente",Pagos!$E$6:$E$305,"&lt;"&amp;TODAY())&gt;0,"Vencido",IF(Q157=0,"Sin pagos",IF(R157=0,"Pagado","Pago parcial"))))</x:f>
      </x:c>
      <x:c r="U157" s="87" t="str">
        <x:f>IF(B157="","",IF(AND(M157="Cotizado",J157&lt;&gt;""),"⚠ Quitá Precio contratado o cambiá Estado",IF(AND(OR(M157="Reservado",M157="Contratado",M157="Finalizado"),J157=""),"⚠ Falta Precio contratado","✓ OK")))</x:f>
      </x:c>
    </x:row>
    <x:row r="158">
      <x:c r="A158" s="61"/>
      <x:c r="B158" s="59"/>
      <x:c r="C158" s="24"/>
      <x:c r="D158" s="59"/>
      <x:c r="E158" s="59"/>
      <x:c r="F158" s="59"/>
      <x:c r="G158" s="59"/>
      <x:c r="H158" s="59"/>
      <x:c r="I158" s="63"/>
      <x:c r="J158" s="63"/>
      <x:c r="K158" s="24"/>
      <x:c r="L158" s="65"/>
      <x:c r="M158" s="24"/>
      <x:c r="N158" s="24"/>
      <x:c r="O158" s="59"/>
      <x:c r="P158" s="71"/>
      <x:c r="Q158" s="67" t="str">
        <x:f>IF(B158="","",SUMIFS(Pagos!$G$6:$G$305,Pagos!$B$6:$B$305,B158,Pagos!$J$6:$J$305,"Pagado"))</x:f>
      </x:c>
      <x:c r="R158" s="67" t="str">
        <x:f>IF(B158="","",MAX(0,IF(J158&lt;&gt;"",J158,IF(I158&lt;&gt;"",I158,0))-Q158))</x:f>
      </x:c>
      <x:c r="S158" s="69" t="str">
        <x:f>IF(B158="","",IFERROR(MINIFS(Pagos!$E$6:$E$305,Pagos!$B$6:$B$305,B158,Pagos!$J$6:$J$305,"Pendiente",Pagos!$E$6:$E$305,"&gt;="&amp;TODAY()),""))</x:f>
      </x:c>
      <x:c r="T158" s="61" t="str">
        <x:f>IF(B158="","",IF(COUNTIFS(Pagos!$B$6:$B$305,B158,Pagos!$J$6:$J$305,"Pendiente",Pagos!$E$6:$E$305,"&lt;"&amp;TODAY())&gt;0,"Vencido",IF(Q158=0,"Sin pagos",IF(R158=0,"Pagado","Pago parcial"))))</x:f>
      </x:c>
      <x:c r="U158" s="87" t="str">
        <x:f>IF(B158="","",IF(AND(M158="Cotizado",J158&lt;&gt;""),"⚠ Quitá Precio contratado o cambiá Estado",IF(AND(OR(M158="Reservado",M158="Contratado",M158="Finalizado"),J158=""),"⚠ Falta Precio contratado","✓ OK")))</x:f>
      </x:c>
    </x:row>
    <x:row r="159">
      <x:c r="A159" s="61"/>
      <x:c r="B159" s="59"/>
      <x:c r="C159" s="24"/>
      <x:c r="D159" s="59"/>
      <x:c r="E159" s="59"/>
      <x:c r="F159" s="59"/>
      <x:c r="G159" s="59"/>
      <x:c r="H159" s="59"/>
      <x:c r="I159" s="63"/>
      <x:c r="J159" s="63"/>
      <x:c r="K159" s="24"/>
      <x:c r="L159" s="65"/>
      <x:c r="M159" s="24"/>
      <x:c r="N159" s="24"/>
      <x:c r="O159" s="59"/>
      <x:c r="P159" s="71"/>
      <x:c r="Q159" s="67" t="str">
        <x:f>IF(B159="","",SUMIFS(Pagos!$G$6:$G$305,Pagos!$B$6:$B$305,B159,Pagos!$J$6:$J$305,"Pagado"))</x:f>
      </x:c>
      <x:c r="R159" s="67" t="str">
        <x:f>IF(B159="","",MAX(0,IF(J159&lt;&gt;"",J159,IF(I159&lt;&gt;"",I159,0))-Q159))</x:f>
      </x:c>
      <x:c r="S159" s="69" t="str">
        <x:f>IF(B159="","",IFERROR(MINIFS(Pagos!$E$6:$E$305,Pagos!$B$6:$B$305,B159,Pagos!$J$6:$J$305,"Pendiente",Pagos!$E$6:$E$305,"&gt;="&amp;TODAY()),""))</x:f>
      </x:c>
      <x:c r="T159" s="61" t="str">
        <x:f>IF(B159="","",IF(COUNTIFS(Pagos!$B$6:$B$305,B159,Pagos!$J$6:$J$305,"Pendiente",Pagos!$E$6:$E$305,"&lt;"&amp;TODAY())&gt;0,"Vencido",IF(Q159=0,"Sin pagos",IF(R159=0,"Pagado","Pago parcial"))))</x:f>
      </x:c>
      <x:c r="U159" s="87" t="str">
        <x:f>IF(B159="","",IF(AND(M159="Cotizado",J159&lt;&gt;""),"⚠ Quitá Precio contratado o cambiá Estado",IF(AND(OR(M159="Reservado",M159="Contratado",M159="Finalizado"),J159=""),"⚠ Falta Precio contratado","✓ OK")))</x:f>
      </x:c>
    </x:row>
    <x:row r="160">
      <x:c r="A160" s="61"/>
      <x:c r="B160" s="59"/>
      <x:c r="C160" s="24"/>
      <x:c r="D160" s="59"/>
      <x:c r="E160" s="59"/>
      <x:c r="F160" s="59"/>
      <x:c r="G160" s="59"/>
      <x:c r="H160" s="59"/>
      <x:c r="I160" s="63"/>
      <x:c r="J160" s="63"/>
      <x:c r="K160" s="24"/>
      <x:c r="L160" s="65"/>
      <x:c r="M160" s="24"/>
      <x:c r="N160" s="24"/>
      <x:c r="O160" s="59"/>
      <x:c r="P160" s="71"/>
      <x:c r="Q160" s="67" t="str">
        <x:f>IF(B160="","",SUMIFS(Pagos!$G$6:$G$305,Pagos!$B$6:$B$305,B160,Pagos!$J$6:$J$305,"Pagado"))</x:f>
      </x:c>
      <x:c r="R160" s="67" t="str">
        <x:f>IF(B160="","",MAX(0,IF(J160&lt;&gt;"",J160,IF(I160&lt;&gt;"",I160,0))-Q160))</x:f>
      </x:c>
      <x:c r="S160" s="69" t="str">
        <x:f>IF(B160="","",IFERROR(MINIFS(Pagos!$E$6:$E$305,Pagos!$B$6:$B$305,B160,Pagos!$J$6:$J$305,"Pendiente",Pagos!$E$6:$E$305,"&gt;="&amp;TODAY()),""))</x:f>
      </x:c>
      <x:c r="T160" s="61" t="str">
        <x:f>IF(B160="","",IF(COUNTIFS(Pagos!$B$6:$B$305,B160,Pagos!$J$6:$J$305,"Pendiente",Pagos!$E$6:$E$305,"&lt;"&amp;TODAY())&gt;0,"Vencido",IF(Q160=0,"Sin pagos",IF(R160=0,"Pagado","Pago parcial"))))</x:f>
      </x:c>
      <x:c r="U160" s="87" t="str">
        <x:f>IF(B160="","",IF(AND(M160="Cotizado",J160&lt;&gt;""),"⚠ Quitá Precio contratado o cambiá Estado",IF(AND(OR(M160="Reservado",M160="Contratado",M160="Finalizado"),J160=""),"⚠ Falta Precio contratado","✓ OK")))</x:f>
      </x:c>
    </x:row>
    <x:row r="161">
      <x:c r="A161" s="61"/>
      <x:c r="B161" s="59"/>
      <x:c r="C161" s="24"/>
      <x:c r="D161" s="59"/>
      <x:c r="E161" s="59"/>
      <x:c r="F161" s="59"/>
      <x:c r="G161" s="59"/>
      <x:c r="H161" s="59"/>
      <x:c r="I161" s="63"/>
      <x:c r="J161" s="63"/>
      <x:c r="K161" s="24"/>
      <x:c r="L161" s="65"/>
      <x:c r="M161" s="24"/>
      <x:c r="N161" s="24"/>
      <x:c r="O161" s="59"/>
      <x:c r="P161" s="71"/>
      <x:c r="Q161" s="67" t="str">
        <x:f>IF(B161="","",SUMIFS(Pagos!$G$6:$G$305,Pagos!$B$6:$B$305,B161,Pagos!$J$6:$J$305,"Pagado"))</x:f>
      </x:c>
      <x:c r="R161" s="67" t="str">
        <x:f>IF(B161="","",MAX(0,IF(J161&lt;&gt;"",J161,IF(I161&lt;&gt;"",I161,0))-Q161))</x:f>
      </x:c>
      <x:c r="S161" s="69" t="str">
        <x:f>IF(B161="","",IFERROR(MINIFS(Pagos!$E$6:$E$305,Pagos!$B$6:$B$305,B161,Pagos!$J$6:$J$305,"Pendiente",Pagos!$E$6:$E$305,"&gt;="&amp;TODAY()),""))</x:f>
      </x:c>
      <x:c r="T161" s="61" t="str">
        <x:f>IF(B161="","",IF(COUNTIFS(Pagos!$B$6:$B$305,B161,Pagos!$J$6:$J$305,"Pendiente",Pagos!$E$6:$E$305,"&lt;"&amp;TODAY())&gt;0,"Vencido",IF(Q161=0,"Sin pagos",IF(R161=0,"Pagado","Pago parcial"))))</x:f>
      </x:c>
      <x:c r="U161" s="87" t="str">
        <x:f>IF(B161="","",IF(AND(M161="Cotizado",J161&lt;&gt;""),"⚠ Quitá Precio contratado o cambiá Estado",IF(AND(OR(M161="Reservado",M161="Contratado",M161="Finalizado"),J161=""),"⚠ Falta Precio contratado","✓ OK")))</x:f>
      </x:c>
    </x:row>
    <x:row r="162">
      <x:c r="A162" s="61"/>
      <x:c r="B162" s="59"/>
      <x:c r="C162" s="24"/>
      <x:c r="D162" s="59"/>
      <x:c r="E162" s="59"/>
      <x:c r="F162" s="59"/>
      <x:c r="G162" s="59"/>
      <x:c r="H162" s="59"/>
      <x:c r="I162" s="63"/>
      <x:c r="J162" s="63"/>
      <x:c r="K162" s="24"/>
      <x:c r="L162" s="65"/>
      <x:c r="M162" s="24"/>
      <x:c r="N162" s="24"/>
      <x:c r="O162" s="59"/>
      <x:c r="P162" s="71"/>
      <x:c r="Q162" s="67" t="str">
        <x:f>IF(B162="","",SUMIFS(Pagos!$G$6:$G$305,Pagos!$B$6:$B$305,B162,Pagos!$J$6:$J$305,"Pagado"))</x:f>
      </x:c>
      <x:c r="R162" s="67" t="str">
        <x:f>IF(B162="","",MAX(0,IF(J162&lt;&gt;"",J162,IF(I162&lt;&gt;"",I162,0))-Q162))</x:f>
      </x:c>
      <x:c r="S162" s="69" t="str">
        <x:f>IF(B162="","",IFERROR(MINIFS(Pagos!$E$6:$E$305,Pagos!$B$6:$B$305,B162,Pagos!$J$6:$J$305,"Pendiente",Pagos!$E$6:$E$305,"&gt;="&amp;TODAY()),""))</x:f>
      </x:c>
      <x:c r="T162" s="61" t="str">
        <x:f>IF(B162="","",IF(COUNTIFS(Pagos!$B$6:$B$305,B162,Pagos!$J$6:$J$305,"Pendiente",Pagos!$E$6:$E$305,"&lt;"&amp;TODAY())&gt;0,"Vencido",IF(Q162=0,"Sin pagos",IF(R162=0,"Pagado","Pago parcial"))))</x:f>
      </x:c>
      <x:c r="U162" s="87" t="str">
        <x:f>IF(B162="","",IF(AND(M162="Cotizado",J162&lt;&gt;""),"⚠ Quitá Precio contratado o cambiá Estado",IF(AND(OR(M162="Reservado",M162="Contratado",M162="Finalizado"),J162=""),"⚠ Falta Precio contratado","✓ OK")))</x:f>
      </x:c>
    </x:row>
    <x:row r="163">
      <x:c r="A163" s="61"/>
      <x:c r="B163" s="59"/>
      <x:c r="C163" s="24"/>
      <x:c r="D163" s="59"/>
      <x:c r="E163" s="59"/>
      <x:c r="F163" s="59"/>
      <x:c r="G163" s="59"/>
      <x:c r="H163" s="59"/>
      <x:c r="I163" s="63"/>
      <x:c r="J163" s="63"/>
      <x:c r="K163" s="24"/>
      <x:c r="L163" s="65"/>
      <x:c r="M163" s="24"/>
      <x:c r="N163" s="24"/>
      <x:c r="O163" s="59"/>
      <x:c r="P163" s="71"/>
      <x:c r="Q163" s="67" t="str">
        <x:f>IF(B163="","",SUMIFS(Pagos!$G$6:$G$305,Pagos!$B$6:$B$305,B163,Pagos!$J$6:$J$305,"Pagado"))</x:f>
      </x:c>
      <x:c r="R163" s="67" t="str">
        <x:f>IF(B163="","",MAX(0,IF(J163&lt;&gt;"",J163,IF(I163&lt;&gt;"",I163,0))-Q163))</x:f>
      </x:c>
      <x:c r="S163" s="69" t="str">
        <x:f>IF(B163="","",IFERROR(MINIFS(Pagos!$E$6:$E$305,Pagos!$B$6:$B$305,B163,Pagos!$J$6:$J$305,"Pendiente",Pagos!$E$6:$E$305,"&gt;="&amp;TODAY()),""))</x:f>
      </x:c>
      <x:c r="T163" s="61" t="str">
        <x:f>IF(B163="","",IF(COUNTIFS(Pagos!$B$6:$B$305,B163,Pagos!$J$6:$J$305,"Pendiente",Pagos!$E$6:$E$305,"&lt;"&amp;TODAY())&gt;0,"Vencido",IF(Q163=0,"Sin pagos",IF(R163=0,"Pagado","Pago parcial"))))</x:f>
      </x:c>
      <x:c r="U163" s="87" t="str">
        <x:f>IF(B163="","",IF(AND(M163="Cotizado",J163&lt;&gt;""),"⚠ Quitá Precio contratado o cambiá Estado",IF(AND(OR(M163="Reservado",M163="Contratado",M163="Finalizado"),J163=""),"⚠ Falta Precio contratado","✓ OK")))</x:f>
      </x:c>
    </x:row>
    <x:row r="164">
      <x:c r="A164" s="61"/>
      <x:c r="B164" s="59"/>
      <x:c r="C164" s="24"/>
      <x:c r="D164" s="59"/>
      <x:c r="E164" s="59"/>
      <x:c r="F164" s="59"/>
      <x:c r="G164" s="59"/>
      <x:c r="H164" s="59"/>
      <x:c r="I164" s="63"/>
      <x:c r="J164" s="63"/>
      <x:c r="K164" s="24"/>
      <x:c r="L164" s="65"/>
      <x:c r="M164" s="24"/>
      <x:c r="N164" s="24"/>
      <x:c r="O164" s="59"/>
      <x:c r="P164" s="71"/>
      <x:c r="Q164" s="67" t="str">
        <x:f>IF(B164="","",SUMIFS(Pagos!$G$6:$G$305,Pagos!$B$6:$B$305,B164,Pagos!$J$6:$J$305,"Pagado"))</x:f>
      </x:c>
      <x:c r="R164" s="67" t="str">
        <x:f>IF(B164="","",MAX(0,IF(J164&lt;&gt;"",J164,IF(I164&lt;&gt;"",I164,0))-Q164))</x:f>
      </x:c>
      <x:c r="S164" s="69" t="str">
        <x:f>IF(B164="","",IFERROR(MINIFS(Pagos!$E$6:$E$305,Pagos!$B$6:$B$305,B164,Pagos!$J$6:$J$305,"Pendiente",Pagos!$E$6:$E$305,"&gt;="&amp;TODAY()),""))</x:f>
      </x:c>
      <x:c r="T164" s="61" t="str">
        <x:f>IF(B164="","",IF(COUNTIFS(Pagos!$B$6:$B$305,B164,Pagos!$J$6:$J$305,"Pendiente",Pagos!$E$6:$E$305,"&lt;"&amp;TODAY())&gt;0,"Vencido",IF(Q164=0,"Sin pagos",IF(R164=0,"Pagado","Pago parcial"))))</x:f>
      </x:c>
      <x:c r="U164" s="87" t="str">
        <x:f>IF(B164="","",IF(AND(M164="Cotizado",J164&lt;&gt;""),"⚠ Quitá Precio contratado o cambiá Estado",IF(AND(OR(M164="Reservado",M164="Contratado",M164="Finalizado"),J164=""),"⚠ Falta Precio contratado","✓ OK")))</x:f>
      </x:c>
    </x:row>
    <x:row r="165">
      <x:c r="A165" s="61"/>
      <x:c r="B165" s="59"/>
      <x:c r="C165" s="24"/>
      <x:c r="D165" s="59"/>
      <x:c r="E165" s="59"/>
      <x:c r="F165" s="59"/>
      <x:c r="G165" s="59"/>
      <x:c r="H165" s="59"/>
      <x:c r="I165" s="63"/>
      <x:c r="J165" s="63"/>
      <x:c r="K165" s="24"/>
      <x:c r="L165" s="65"/>
      <x:c r="M165" s="24"/>
      <x:c r="N165" s="24"/>
      <x:c r="O165" s="59"/>
      <x:c r="P165" s="71"/>
      <x:c r="Q165" s="67" t="str">
        <x:f>IF(B165="","",SUMIFS(Pagos!$G$6:$G$305,Pagos!$B$6:$B$305,B165,Pagos!$J$6:$J$305,"Pagado"))</x:f>
      </x:c>
      <x:c r="R165" s="67" t="str">
        <x:f>IF(B165="","",MAX(0,IF(J165&lt;&gt;"",J165,IF(I165&lt;&gt;"",I165,0))-Q165))</x:f>
      </x:c>
      <x:c r="S165" s="69" t="str">
        <x:f>IF(B165="","",IFERROR(MINIFS(Pagos!$E$6:$E$305,Pagos!$B$6:$B$305,B165,Pagos!$J$6:$J$305,"Pendiente",Pagos!$E$6:$E$305,"&gt;="&amp;TODAY()),""))</x:f>
      </x:c>
      <x:c r="T165" s="61" t="str">
        <x:f>IF(B165="","",IF(COUNTIFS(Pagos!$B$6:$B$305,B165,Pagos!$J$6:$J$305,"Pendiente",Pagos!$E$6:$E$305,"&lt;"&amp;TODAY())&gt;0,"Vencido",IF(Q165=0,"Sin pagos",IF(R165=0,"Pagado","Pago parcial"))))</x:f>
      </x:c>
      <x:c r="U165" s="87" t="str">
        <x:f>IF(B165="","",IF(AND(M165="Cotizado",J165&lt;&gt;""),"⚠ Quitá Precio contratado o cambiá Estado",IF(AND(OR(M165="Reservado",M165="Contratado",M165="Finalizado"),J165=""),"⚠ Falta Precio contratado","✓ OK")))</x:f>
      </x:c>
    </x:row>
    <x:row r="166">
      <x:c r="A166" s="61"/>
      <x:c r="B166" s="59"/>
      <x:c r="C166" s="24"/>
      <x:c r="D166" s="59"/>
      <x:c r="E166" s="59"/>
      <x:c r="F166" s="59"/>
      <x:c r="G166" s="59"/>
      <x:c r="H166" s="59"/>
      <x:c r="I166" s="63"/>
      <x:c r="J166" s="63"/>
      <x:c r="K166" s="24"/>
      <x:c r="L166" s="65"/>
      <x:c r="M166" s="24"/>
      <x:c r="N166" s="24"/>
      <x:c r="O166" s="59"/>
      <x:c r="P166" s="71"/>
      <x:c r="Q166" s="67" t="str">
        <x:f>IF(B166="","",SUMIFS(Pagos!$G$6:$G$305,Pagos!$B$6:$B$305,B166,Pagos!$J$6:$J$305,"Pagado"))</x:f>
      </x:c>
      <x:c r="R166" s="67" t="str">
        <x:f>IF(B166="","",MAX(0,IF(J166&lt;&gt;"",J166,IF(I166&lt;&gt;"",I166,0))-Q166))</x:f>
      </x:c>
      <x:c r="S166" s="69" t="str">
        <x:f>IF(B166="","",IFERROR(MINIFS(Pagos!$E$6:$E$305,Pagos!$B$6:$B$305,B166,Pagos!$J$6:$J$305,"Pendiente",Pagos!$E$6:$E$305,"&gt;="&amp;TODAY()),""))</x:f>
      </x:c>
      <x:c r="T166" s="61" t="str">
        <x:f>IF(B166="","",IF(COUNTIFS(Pagos!$B$6:$B$305,B166,Pagos!$J$6:$J$305,"Pendiente",Pagos!$E$6:$E$305,"&lt;"&amp;TODAY())&gt;0,"Vencido",IF(Q166=0,"Sin pagos",IF(R166=0,"Pagado","Pago parcial"))))</x:f>
      </x:c>
      <x:c r="U166" s="87" t="str">
        <x:f>IF(B166="","",IF(AND(M166="Cotizado",J166&lt;&gt;""),"⚠ Quitá Precio contratado o cambiá Estado",IF(AND(OR(M166="Reservado",M166="Contratado",M166="Finalizado"),J166=""),"⚠ Falta Precio contratado","✓ OK")))</x:f>
      </x:c>
    </x:row>
    <x:row r="167">
      <x:c r="A167" s="61"/>
      <x:c r="B167" s="59"/>
      <x:c r="C167" s="24"/>
      <x:c r="D167" s="59"/>
      <x:c r="E167" s="59"/>
      <x:c r="F167" s="59"/>
      <x:c r="G167" s="59"/>
      <x:c r="H167" s="59"/>
      <x:c r="I167" s="63"/>
      <x:c r="J167" s="63"/>
      <x:c r="K167" s="24"/>
      <x:c r="L167" s="65"/>
      <x:c r="M167" s="24"/>
      <x:c r="N167" s="24"/>
      <x:c r="O167" s="59"/>
      <x:c r="P167" s="71"/>
      <x:c r="Q167" s="67" t="str">
        <x:f>IF(B167="","",SUMIFS(Pagos!$G$6:$G$305,Pagos!$B$6:$B$305,B167,Pagos!$J$6:$J$305,"Pagado"))</x:f>
      </x:c>
      <x:c r="R167" s="67" t="str">
        <x:f>IF(B167="","",MAX(0,IF(J167&lt;&gt;"",J167,IF(I167&lt;&gt;"",I167,0))-Q167))</x:f>
      </x:c>
      <x:c r="S167" s="69" t="str">
        <x:f>IF(B167="","",IFERROR(MINIFS(Pagos!$E$6:$E$305,Pagos!$B$6:$B$305,B167,Pagos!$J$6:$J$305,"Pendiente",Pagos!$E$6:$E$305,"&gt;="&amp;TODAY()),""))</x:f>
      </x:c>
      <x:c r="T167" s="61" t="str">
        <x:f>IF(B167="","",IF(COUNTIFS(Pagos!$B$6:$B$305,B167,Pagos!$J$6:$J$305,"Pendiente",Pagos!$E$6:$E$305,"&lt;"&amp;TODAY())&gt;0,"Vencido",IF(Q167=0,"Sin pagos",IF(R167=0,"Pagado","Pago parcial"))))</x:f>
      </x:c>
      <x:c r="U167" s="87" t="str">
        <x:f>IF(B167="","",IF(AND(M167="Cotizado",J167&lt;&gt;""),"⚠ Quitá Precio contratado o cambiá Estado",IF(AND(OR(M167="Reservado",M167="Contratado",M167="Finalizado"),J167=""),"⚠ Falta Precio contratado","✓ OK")))</x:f>
      </x:c>
    </x:row>
    <x:row r="168">
      <x:c r="A168" s="61"/>
      <x:c r="B168" s="59"/>
      <x:c r="C168" s="24"/>
      <x:c r="D168" s="59"/>
      <x:c r="E168" s="59"/>
      <x:c r="F168" s="59"/>
      <x:c r="G168" s="59"/>
      <x:c r="H168" s="59"/>
      <x:c r="I168" s="63"/>
      <x:c r="J168" s="63"/>
      <x:c r="K168" s="24"/>
      <x:c r="L168" s="65"/>
      <x:c r="M168" s="24"/>
      <x:c r="N168" s="24"/>
      <x:c r="O168" s="59"/>
      <x:c r="P168" s="71"/>
      <x:c r="Q168" s="67" t="str">
        <x:f>IF(B168="","",SUMIFS(Pagos!$G$6:$G$305,Pagos!$B$6:$B$305,B168,Pagos!$J$6:$J$305,"Pagado"))</x:f>
      </x:c>
      <x:c r="R168" s="67" t="str">
        <x:f>IF(B168="","",MAX(0,IF(J168&lt;&gt;"",J168,IF(I168&lt;&gt;"",I168,0))-Q168))</x:f>
      </x:c>
      <x:c r="S168" s="69" t="str">
        <x:f>IF(B168="","",IFERROR(MINIFS(Pagos!$E$6:$E$305,Pagos!$B$6:$B$305,B168,Pagos!$J$6:$J$305,"Pendiente",Pagos!$E$6:$E$305,"&gt;="&amp;TODAY()),""))</x:f>
      </x:c>
      <x:c r="T168" s="61" t="str">
        <x:f>IF(B168="","",IF(COUNTIFS(Pagos!$B$6:$B$305,B168,Pagos!$J$6:$J$305,"Pendiente",Pagos!$E$6:$E$305,"&lt;"&amp;TODAY())&gt;0,"Vencido",IF(Q168=0,"Sin pagos",IF(R168=0,"Pagado","Pago parcial"))))</x:f>
      </x:c>
      <x:c r="U168" s="87" t="str">
        <x:f>IF(B168="","",IF(AND(M168="Cotizado",J168&lt;&gt;""),"⚠ Quitá Precio contratado o cambiá Estado",IF(AND(OR(M168="Reservado",M168="Contratado",M168="Finalizado"),J168=""),"⚠ Falta Precio contratado","✓ OK")))</x:f>
      </x:c>
    </x:row>
    <x:row r="169">
      <x:c r="A169" s="61"/>
      <x:c r="B169" s="59"/>
      <x:c r="C169" s="24"/>
      <x:c r="D169" s="59"/>
      <x:c r="E169" s="59"/>
      <x:c r="F169" s="59"/>
      <x:c r="G169" s="59"/>
      <x:c r="H169" s="59"/>
      <x:c r="I169" s="63"/>
      <x:c r="J169" s="63"/>
      <x:c r="K169" s="24"/>
      <x:c r="L169" s="65"/>
      <x:c r="M169" s="24"/>
      <x:c r="N169" s="24"/>
      <x:c r="O169" s="59"/>
      <x:c r="P169" s="71"/>
      <x:c r="Q169" s="67" t="str">
        <x:f>IF(B169="","",SUMIFS(Pagos!$G$6:$G$305,Pagos!$B$6:$B$305,B169,Pagos!$J$6:$J$305,"Pagado"))</x:f>
      </x:c>
      <x:c r="R169" s="67" t="str">
        <x:f>IF(B169="","",MAX(0,IF(J169&lt;&gt;"",J169,IF(I169&lt;&gt;"",I169,0))-Q169))</x:f>
      </x:c>
      <x:c r="S169" s="69" t="str">
        <x:f>IF(B169="","",IFERROR(MINIFS(Pagos!$E$6:$E$305,Pagos!$B$6:$B$305,B169,Pagos!$J$6:$J$305,"Pendiente",Pagos!$E$6:$E$305,"&gt;="&amp;TODAY()),""))</x:f>
      </x:c>
      <x:c r="T169" s="61" t="str">
        <x:f>IF(B169="","",IF(COUNTIFS(Pagos!$B$6:$B$305,B169,Pagos!$J$6:$J$305,"Pendiente",Pagos!$E$6:$E$305,"&lt;"&amp;TODAY())&gt;0,"Vencido",IF(Q169=0,"Sin pagos",IF(R169=0,"Pagado","Pago parcial"))))</x:f>
      </x:c>
      <x:c r="U169" s="87" t="str">
        <x:f>IF(B169="","",IF(AND(M169="Cotizado",J169&lt;&gt;""),"⚠ Quitá Precio contratado o cambiá Estado",IF(AND(OR(M169="Reservado",M169="Contratado",M169="Finalizado"),J169=""),"⚠ Falta Precio contratado","✓ OK")))</x:f>
      </x:c>
    </x:row>
    <x:row r="170">
      <x:c r="A170" s="61"/>
      <x:c r="B170" s="59"/>
      <x:c r="C170" s="24"/>
      <x:c r="D170" s="59"/>
      <x:c r="E170" s="59"/>
      <x:c r="F170" s="59"/>
      <x:c r="G170" s="59"/>
      <x:c r="H170" s="59"/>
      <x:c r="I170" s="63"/>
      <x:c r="J170" s="63"/>
      <x:c r="K170" s="24"/>
      <x:c r="L170" s="65"/>
      <x:c r="M170" s="24"/>
      <x:c r="N170" s="24"/>
      <x:c r="O170" s="59"/>
      <x:c r="P170" s="71"/>
      <x:c r="Q170" s="67" t="str">
        <x:f>IF(B170="","",SUMIFS(Pagos!$G$6:$G$305,Pagos!$B$6:$B$305,B170,Pagos!$J$6:$J$305,"Pagado"))</x:f>
      </x:c>
      <x:c r="R170" s="67" t="str">
        <x:f>IF(B170="","",MAX(0,IF(J170&lt;&gt;"",J170,IF(I170&lt;&gt;"",I170,0))-Q170))</x:f>
      </x:c>
      <x:c r="S170" s="69" t="str">
        <x:f>IF(B170="","",IFERROR(MINIFS(Pagos!$E$6:$E$305,Pagos!$B$6:$B$305,B170,Pagos!$J$6:$J$305,"Pendiente",Pagos!$E$6:$E$305,"&gt;="&amp;TODAY()),""))</x:f>
      </x:c>
      <x:c r="T170" s="61" t="str">
        <x:f>IF(B170="","",IF(COUNTIFS(Pagos!$B$6:$B$305,B170,Pagos!$J$6:$J$305,"Pendiente",Pagos!$E$6:$E$305,"&lt;"&amp;TODAY())&gt;0,"Vencido",IF(Q170=0,"Sin pagos",IF(R170=0,"Pagado","Pago parcial"))))</x:f>
      </x:c>
      <x:c r="U170" s="87" t="str">
        <x:f>IF(B170="","",IF(AND(M170="Cotizado",J170&lt;&gt;""),"⚠ Quitá Precio contratado o cambiá Estado",IF(AND(OR(M170="Reservado",M170="Contratado",M170="Finalizado"),J170=""),"⚠ Falta Precio contratado","✓ OK")))</x:f>
      </x:c>
    </x:row>
    <x:row r="171">
      <x:c r="A171" s="61"/>
      <x:c r="B171" s="59"/>
      <x:c r="C171" s="24"/>
      <x:c r="D171" s="59"/>
      <x:c r="E171" s="59"/>
      <x:c r="F171" s="59"/>
      <x:c r="G171" s="59"/>
      <x:c r="H171" s="59"/>
      <x:c r="I171" s="63"/>
      <x:c r="J171" s="63"/>
      <x:c r="K171" s="24"/>
      <x:c r="L171" s="65"/>
      <x:c r="M171" s="24"/>
      <x:c r="N171" s="24"/>
      <x:c r="O171" s="59"/>
      <x:c r="P171" s="71"/>
      <x:c r="Q171" s="67" t="str">
        <x:f>IF(B171="","",SUMIFS(Pagos!$G$6:$G$305,Pagos!$B$6:$B$305,B171,Pagos!$J$6:$J$305,"Pagado"))</x:f>
      </x:c>
      <x:c r="R171" s="67" t="str">
        <x:f>IF(B171="","",MAX(0,IF(J171&lt;&gt;"",J171,IF(I171&lt;&gt;"",I171,0))-Q171))</x:f>
      </x:c>
      <x:c r="S171" s="69" t="str">
        <x:f>IF(B171="","",IFERROR(MINIFS(Pagos!$E$6:$E$305,Pagos!$B$6:$B$305,B171,Pagos!$J$6:$J$305,"Pendiente",Pagos!$E$6:$E$305,"&gt;="&amp;TODAY()),""))</x:f>
      </x:c>
      <x:c r="T171" s="61" t="str">
        <x:f>IF(B171="","",IF(COUNTIFS(Pagos!$B$6:$B$305,B171,Pagos!$J$6:$J$305,"Pendiente",Pagos!$E$6:$E$305,"&lt;"&amp;TODAY())&gt;0,"Vencido",IF(Q171=0,"Sin pagos",IF(R171=0,"Pagado","Pago parcial"))))</x:f>
      </x:c>
      <x:c r="U171" s="87" t="str">
        <x:f>IF(B171="","",IF(AND(M171="Cotizado",J171&lt;&gt;""),"⚠ Quitá Precio contratado o cambiá Estado",IF(AND(OR(M171="Reservado",M171="Contratado",M171="Finalizado"),J171=""),"⚠ Falta Precio contratado","✓ OK")))</x:f>
      </x:c>
    </x:row>
    <x:row r="172">
      <x:c r="A172" s="61"/>
      <x:c r="B172" s="59"/>
      <x:c r="C172" s="24"/>
      <x:c r="D172" s="59"/>
      <x:c r="E172" s="59"/>
      <x:c r="F172" s="59"/>
      <x:c r="G172" s="59"/>
      <x:c r="H172" s="59"/>
      <x:c r="I172" s="63"/>
      <x:c r="J172" s="63"/>
      <x:c r="K172" s="24"/>
      <x:c r="L172" s="65"/>
      <x:c r="M172" s="24"/>
      <x:c r="N172" s="24"/>
      <x:c r="O172" s="59"/>
      <x:c r="P172" s="71"/>
      <x:c r="Q172" s="67" t="str">
        <x:f>IF(B172="","",SUMIFS(Pagos!$G$6:$G$305,Pagos!$B$6:$B$305,B172,Pagos!$J$6:$J$305,"Pagado"))</x:f>
      </x:c>
      <x:c r="R172" s="67" t="str">
        <x:f>IF(B172="","",MAX(0,IF(J172&lt;&gt;"",J172,IF(I172&lt;&gt;"",I172,0))-Q172))</x:f>
      </x:c>
      <x:c r="S172" s="69" t="str">
        <x:f>IF(B172="","",IFERROR(MINIFS(Pagos!$E$6:$E$305,Pagos!$B$6:$B$305,B172,Pagos!$J$6:$J$305,"Pendiente",Pagos!$E$6:$E$305,"&gt;="&amp;TODAY()),""))</x:f>
      </x:c>
      <x:c r="T172" s="61" t="str">
        <x:f>IF(B172="","",IF(COUNTIFS(Pagos!$B$6:$B$305,B172,Pagos!$J$6:$J$305,"Pendiente",Pagos!$E$6:$E$305,"&lt;"&amp;TODAY())&gt;0,"Vencido",IF(Q172=0,"Sin pagos",IF(R172=0,"Pagado","Pago parcial"))))</x:f>
      </x:c>
      <x:c r="U172" s="87" t="str">
        <x:f>IF(B172="","",IF(AND(M172="Cotizado",J172&lt;&gt;""),"⚠ Quitá Precio contratado o cambiá Estado",IF(AND(OR(M172="Reservado",M172="Contratado",M172="Finalizado"),J172=""),"⚠ Falta Precio contratado","✓ OK")))</x:f>
      </x:c>
    </x:row>
    <x:row r="173">
      <x:c r="A173" s="61"/>
      <x:c r="B173" s="59"/>
      <x:c r="C173" s="24"/>
      <x:c r="D173" s="59"/>
      <x:c r="E173" s="59"/>
      <x:c r="F173" s="59"/>
      <x:c r="G173" s="59"/>
      <x:c r="H173" s="59"/>
      <x:c r="I173" s="63"/>
      <x:c r="J173" s="63"/>
      <x:c r="K173" s="24"/>
      <x:c r="L173" s="65"/>
      <x:c r="M173" s="24"/>
      <x:c r="N173" s="24"/>
      <x:c r="O173" s="59"/>
      <x:c r="P173" s="71"/>
      <x:c r="Q173" s="67" t="str">
        <x:f>IF(B173="","",SUMIFS(Pagos!$G$6:$G$305,Pagos!$B$6:$B$305,B173,Pagos!$J$6:$J$305,"Pagado"))</x:f>
      </x:c>
      <x:c r="R173" s="67" t="str">
        <x:f>IF(B173="","",MAX(0,IF(J173&lt;&gt;"",J173,IF(I173&lt;&gt;"",I173,0))-Q173))</x:f>
      </x:c>
      <x:c r="S173" s="69" t="str">
        <x:f>IF(B173="","",IFERROR(MINIFS(Pagos!$E$6:$E$305,Pagos!$B$6:$B$305,B173,Pagos!$J$6:$J$305,"Pendiente",Pagos!$E$6:$E$305,"&gt;="&amp;TODAY()),""))</x:f>
      </x:c>
      <x:c r="T173" s="61" t="str">
        <x:f>IF(B173="","",IF(COUNTIFS(Pagos!$B$6:$B$305,B173,Pagos!$J$6:$J$305,"Pendiente",Pagos!$E$6:$E$305,"&lt;"&amp;TODAY())&gt;0,"Vencido",IF(Q173=0,"Sin pagos",IF(R173=0,"Pagado","Pago parcial"))))</x:f>
      </x:c>
      <x:c r="U173" s="87" t="str">
        <x:f>IF(B173="","",IF(AND(M173="Cotizado",J173&lt;&gt;""),"⚠ Quitá Precio contratado o cambiá Estado",IF(AND(OR(M173="Reservado",M173="Contratado",M173="Finalizado"),J173=""),"⚠ Falta Precio contratado","✓ OK")))</x:f>
      </x:c>
    </x:row>
    <x:row r="174">
      <x:c r="A174" s="61"/>
      <x:c r="B174" s="59"/>
      <x:c r="C174" s="24"/>
      <x:c r="D174" s="59"/>
      <x:c r="E174" s="59"/>
      <x:c r="F174" s="59"/>
      <x:c r="G174" s="59"/>
      <x:c r="H174" s="59"/>
      <x:c r="I174" s="63"/>
      <x:c r="J174" s="63"/>
      <x:c r="K174" s="24"/>
      <x:c r="L174" s="65"/>
      <x:c r="M174" s="24"/>
      <x:c r="N174" s="24"/>
      <x:c r="O174" s="59"/>
      <x:c r="P174" s="71"/>
      <x:c r="Q174" s="67" t="str">
        <x:f>IF(B174="","",SUMIFS(Pagos!$G$6:$G$305,Pagos!$B$6:$B$305,B174,Pagos!$J$6:$J$305,"Pagado"))</x:f>
      </x:c>
      <x:c r="R174" s="67" t="str">
        <x:f>IF(B174="","",MAX(0,IF(J174&lt;&gt;"",J174,IF(I174&lt;&gt;"",I174,0))-Q174))</x:f>
      </x:c>
      <x:c r="S174" s="69" t="str">
        <x:f>IF(B174="","",IFERROR(MINIFS(Pagos!$E$6:$E$305,Pagos!$B$6:$B$305,B174,Pagos!$J$6:$J$305,"Pendiente",Pagos!$E$6:$E$305,"&gt;="&amp;TODAY()),""))</x:f>
      </x:c>
      <x:c r="T174" s="61" t="str">
        <x:f>IF(B174="","",IF(COUNTIFS(Pagos!$B$6:$B$305,B174,Pagos!$J$6:$J$305,"Pendiente",Pagos!$E$6:$E$305,"&lt;"&amp;TODAY())&gt;0,"Vencido",IF(Q174=0,"Sin pagos",IF(R174=0,"Pagado","Pago parcial"))))</x:f>
      </x:c>
      <x:c r="U174" s="87" t="str">
        <x:f>IF(B174="","",IF(AND(M174="Cotizado",J174&lt;&gt;""),"⚠ Quitá Precio contratado o cambiá Estado",IF(AND(OR(M174="Reservado",M174="Contratado",M174="Finalizado"),J174=""),"⚠ Falta Precio contratado","✓ OK")))</x:f>
      </x:c>
    </x:row>
    <x:row r="175">
      <x:c r="A175" s="61"/>
      <x:c r="B175" s="59"/>
      <x:c r="C175" s="24"/>
      <x:c r="D175" s="59"/>
      <x:c r="E175" s="59"/>
      <x:c r="F175" s="59"/>
      <x:c r="G175" s="59"/>
      <x:c r="H175" s="59"/>
      <x:c r="I175" s="63"/>
      <x:c r="J175" s="63"/>
      <x:c r="K175" s="24"/>
      <x:c r="L175" s="65"/>
      <x:c r="M175" s="24"/>
      <x:c r="N175" s="24"/>
      <x:c r="O175" s="59"/>
      <x:c r="P175" s="71"/>
      <x:c r="Q175" s="67" t="str">
        <x:f>IF(B175="","",SUMIFS(Pagos!$G$6:$G$305,Pagos!$B$6:$B$305,B175,Pagos!$J$6:$J$305,"Pagado"))</x:f>
      </x:c>
      <x:c r="R175" s="67" t="str">
        <x:f>IF(B175="","",MAX(0,IF(J175&lt;&gt;"",J175,IF(I175&lt;&gt;"",I175,0))-Q175))</x:f>
      </x:c>
      <x:c r="S175" s="69" t="str">
        <x:f>IF(B175="","",IFERROR(MINIFS(Pagos!$E$6:$E$305,Pagos!$B$6:$B$305,B175,Pagos!$J$6:$J$305,"Pendiente",Pagos!$E$6:$E$305,"&gt;="&amp;TODAY()),""))</x:f>
      </x:c>
      <x:c r="T175" s="61" t="str">
        <x:f>IF(B175="","",IF(COUNTIFS(Pagos!$B$6:$B$305,B175,Pagos!$J$6:$J$305,"Pendiente",Pagos!$E$6:$E$305,"&lt;"&amp;TODAY())&gt;0,"Vencido",IF(Q175=0,"Sin pagos",IF(R175=0,"Pagado","Pago parcial"))))</x:f>
      </x:c>
      <x:c r="U175" s="87" t="str">
        <x:f>IF(B175="","",IF(AND(M175="Cotizado",J175&lt;&gt;""),"⚠ Quitá Precio contratado o cambiá Estado",IF(AND(OR(M175="Reservado",M175="Contratado",M175="Finalizado"),J175=""),"⚠ Falta Precio contratado","✓ OK")))</x:f>
      </x:c>
    </x:row>
    <x:row r="176">
      <x:c r="A176" s="61"/>
      <x:c r="B176" s="59"/>
      <x:c r="C176" s="24"/>
      <x:c r="D176" s="59"/>
      <x:c r="E176" s="59"/>
      <x:c r="F176" s="59"/>
      <x:c r="G176" s="59"/>
      <x:c r="H176" s="59"/>
      <x:c r="I176" s="63"/>
      <x:c r="J176" s="63"/>
      <x:c r="K176" s="24"/>
      <x:c r="L176" s="65"/>
      <x:c r="M176" s="24"/>
      <x:c r="N176" s="24"/>
      <x:c r="O176" s="59"/>
      <x:c r="P176" s="71"/>
      <x:c r="Q176" s="67" t="str">
        <x:f>IF(B176="","",SUMIFS(Pagos!$G$6:$G$305,Pagos!$B$6:$B$305,B176,Pagos!$J$6:$J$305,"Pagado"))</x:f>
      </x:c>
      <x:c r="R176" s="67" t="str">
        <x:f>IF(B176="","",MAX(0,IF(J176&lt;&gt;"",J176,IF(I176&lt;&gt;"",I176,0))-Q176))</x:f>
      </x:c>
      <x:c r="S176" s="69" t="str">
        <x:f>IF(B176="","",IFERROR(MINIFS(Pagos!$E$6:$E$305,Pagos!$B$6:$B$305,B176,Pagos!$J$6:$J$305,"Pendiente",Pagos!$E$6:$E$305,"&gt;="&amp;TODAY()),""))</x:f>
      </x:c>
      <x:c r="T176" s="61" t="str">
        <x:f>IF(B176="","",IF(COUNTIFS(Pagos!$B$6:$B$305,B176,Pagos!$J$6:$J$305,"Pendiente",Pagos!$E$6:$E$305,"&lt;"&amp;TODAY())&gt;0,"Vencido",IF(Q176=0,"Sin pagos",IF(R176=0,"Pagado","Pago parcial"))))</x:f>
      </x:c>
      <x:c r="U176" s="87" t="str">
        <x:f>IF(B176="","",IF(AND(M176="Cotizado",J176&lt;&gt;""),"⚠ Quitá Precio contratado o cambiá Estado",IF(AND(OR(M176="Reservado",M176="Contratado",M176="Finalizado"),J176=""),"⚠ Falta Precio contratado","✓ OK")))</x:f>
      </x:c>
    </x:row>
    <x:row r="177">
      <x:c r="A177" s="61"/>
      <x:c r="B177" s="59"/>
      <x:c r="C177" s="24"/>
      <x:c r="D177" s="59"/>
      <x:c r="E177" s="59"/>
      <x:c r="F177" s="59"/>
      <x:c r="G177" s="59"/>
      <x:c r="H177" s="59"/>
      <x:c r="I177" s="63"/>
      <x:c r="J177" s="63"/>
      <x:c r="K177" s="24"/>
      <x:c r="L177" s="65"/>
      <x:c r="M177" s="24"/>
      <x:c r="N177" s="24"/>
      <x:c r="O177" s="59"/>
      <x:c r="P177" s="71"/>
      <x:c r="Q177" s="67" t="str">
        <x:f>IF(B177="","",SUMIFS(Pagos!$G$6:$G$305,Pagos!$B$6:$B$305,B177,Pagos!$J$6:$J$305,"Pagado"))</x:f>
      </x:c>
      <x:c r="R177" s="67" t="str">
        <x:f>IF(B177="","",MAX(0,IF(J177&lt;&gt;"",J177,IF(I177&lt;&gt;"",I177,0))-Q177))</x:f>
      </x:c>
      <x:c r="S177" s="69" t="str">
        <x:f>IF(B177="","",IFERROR(MINIFS(Pagos!$E$6:$E$305,Pagos!$B$6:$B$305,B177,Pagos!$J$6:$J$305,"Pendiente",Pagos!$E$6:$E$305,"&gt;="&amp;TODAY()),""))</x:f>
      </x:c>
      <x:c r="T177" s="61" t="str">
        <x:f>IF(B177="","",IF(COUNTIFS(Pagos!$B$6:$B$305,B177,Pagos!$J$6:$J$305,"Pendiente",Pagos!$E$6:$E$305,"&lt;"&amp;TODAY())&gt;0,"Vencido",IF(Q177=0,"Sin pagos",IF(R177=0,"Pagado","Pago parcial"))))</x:f>
      </x:c>
      <x:c r="U177" s="87" t="str">
        <x:f>IF(B177="","",IF(AND(M177="Cotizado",J177&lt;&gt;""),"⚠ Quitá Precio contratado o cambiá Estado",IF(AND(OR(M177="Reservado",M177="Contratado",M177="Finalizado"),J177=""),"⚠ Falta Precio contratado","✓ OK")))</x:f>
      </x:c>
    </x:row>
    <x:row r="178">
      <x:c r="A178" s="61"/>
      <x:c r="B178" s="59"/>
      <x:c r="C178" s="24"/>
      <x:c r="D178" s="59"/>
      <x:c r="E178" s="59"/>
      <x:c r="F178" s="59"/>
      <x:c r="G178" s="59"/>
      <x:c r="H178" s="59"/>
      <x:c r="I178" s="63"/>
      <x:c r="J178" s="63"/>
      <x:c r="K178" s="24"/>
      <x:c r="L178" s="65"/>
      <x:c r="M178" s="24"/>
      <x:c r="N178" s="24"/>
      <x:c r="O178" s="59"/>
      <x:c r="P178" s="71"/>
      <x:c r="Q178" s="67" t="str">
        <x:f>IF(B178="","",SUMIFS(Pagos!$G$6:$G$305,Pagos!$B$6:$B$305,B178,Pagos!$J$6:$J$305,"Pagado"))</x:f>
      </x:c>
      <x:c r="R178" s="67" t="str">
        <x:f>IF(B178="","",MAX(0,IF(J178&lt;&gt;"",J178,IF(I178&lt;&gt;"",I178,0))-Q178))</x:f>
      </x:c>
      <x:c r="S178" s="69" t="str">
        <x:f>IF(B178="","",IFERROR(MINIFS(Pagos!$E$6:$E$305,Pagos!$B$6:$B$305,B178,Pagos!$J$6:$J$305,"Pendiente",Pagos!$E$6:$E$305,"&gt;="&amp;TODAY()),""))</x:f>
      </x:c>
      <x:c r="T178" s="61" t="str">
        <x:f>IF(B178="","",IF(COUNTIFS(Pagos!$B$6:$B$305,B178,Pagos!$J$6:$J$305,"Pendiente",Pagos!$E$6:$E$305,"&lt;"&amp;TODAY())&gt;0,"Vencido",IF(Q178=0,"Sin pagos",IF(R178=0,"Pagado","Pago parcial"))))</x:f>
      </x:c>
      <x:c r="U178" s="87" t="str">
        <x:f>IF(B178="","",IF(AND(M178="Cotizado",J178&lt;&gt;""),"⚠ Quitá Precio contratado o cambiá Estado",IF(AND(OR(M178="Reservado",M178="Contratado",M178="Finalizado"),J178=""),"⚠ Falta Precio contratado","✓ OK")))</x:f>
      </x:c>
    </x:row>
    <x:row r="179">
      <x:c r="A179" s="61"/>
      <x:c r="B179" s="59"/>
      <x:c r="C179" s="24"/>
      <x:c r="D179" s="59"/>
      <x:c r="E179" s="59"/>
      <x:c r="F179" s="59"/>
      <x:c r="G179" s="59"/>
      <x:c r="H179" s="59"/>
      <x:c r="I179" s="63"/>
      <x:c r="J179" s="63"/>
      <x:c r="K179" s="24"/>
      <x:c r="L179" s="65"/>
      <x:c r="M179" s="24"/>
      <x:c r="N179" s="24"/>
      <x:c r="O179" s="59"/>
      <x:c r="P179" s="71"/>
      <x:c r="Q179" s="67" t="str">
        <x:f>IF(B179="","",SUMIFS(Pagos!$G$6:$G$305,Pagos!$B$6:$B$305,B179,Pagos!$J$6:$J$305,"Pagado"))</x:f>
      </x:c>
      <x:c r="R179" s="67" t="str">
        <x:f>IF(B179="","",MAX(0,IF(J179&lt;&gt;"",J179,IF(I179&lt;&gt;"",I179,0))-Q179))</x:f>
      </x:c>
      <x:c r="S179" s="69" t="str">
        <x:f>IF(B179="","",IFERROR(MINIFS(Pagos!$E$6:$E$305,Pagos!$B$6:$B$305,B179,Pagos!$J$6:$J$305,"Pendiente",Pagos!$E$6:$E$305,"&gt;="&amp;TODAY()),""))</x:f>
      </x:c>
      <x:c r="T179" s="61" t="str">
        <x:f>IF(B179="","",IF(COUNTIFS(Pagos!$B$6:$B$305,B179,Pagos!$J$6:$J$305,"Pendiente",Pagos!$E$6:$E$305,"&lt;"&amp;TODAY())&gt;0,"Vencido",IF(Q179=0,"Sin pagos",IF(R179=0,"Pagado","Pago parcial"))))</x:f>
      </x:c>
      <x:c r="U179" s="87" t="str">
        <x:f>IF(B179="","",IF(AND(M179="Cotizado",J179&lt;&gt;""),"⚠ Quitá Precio contratado o cambiá Estado",IF(AND(OR(M179="Reservado",M179="Contratado",M179="Finalizado"),J179=""),"⚠ Falta Precio contratado","✓ OK")))</x:f>
      </x:c>
    </x:row>
    <x:row r="180">
      <x:c r="A180" s="61"/>
      <x:c r="B180" s="59"/>
      <x:c r="C180" s="24"/>
      <x:c r="D180" s="59"/>
      <x:c r="E180" s="59"/>
      <x:c r="F180" s="59"/>
      <x:c r="G180" s="59"/>
      <x:c r="H180" s="59"/>
      <x:c r="I180" s="63"/>
      <x:c r="J180" s="63"/>
      <x:c r="K180" s="24"/>
      <x:c r="L180" s="65"/>
      <x:c r="M180" s="24"/>
      <x:c r="N180" s="24"/>
      <x:c r="O180" s="59"/>
      <x:c r="P180" s="71"/>
      <x:c r="Q180" s="67" t="str">
        <x:f>IF(B180="","",SUMIFS(Pagos!$G$6:$G$305,Pagos!$B$6:$B$305,B180,Pagos!$J$6:$J$305,"Pagado"))</x:f>
      </x:c>
      <x:c r="R180" s="67" t="str">
        <x:f>IF(B180="","",MAX(0,IF(J180&lt;&gt;"",J180,IF(I180&lt;&gt;"",I180,0))-Q180))</x:f>
      </x:c>
      <x:c r="S180" s="69" t="str">
        <x:f>IF(B180="","",IFERROR(MINIFS(Pagos!$E$6:$E$305,Pagos!$B$6:$B$305,B180,Pagos!$J$6:$J$305,"Pendiente",Pagos!$E$6:$E$305,"&gt;="&amp;TODAY()),""))</x:f>
      </x:c>
      <x:c r="T180" s="61" t="str">
        <x:f>IF(B180="","",IF(COUNTIFS(Pagos!$B$6:$B$305,B180,Pagos!$J$6:$J$305,"Pendiente",Pagos!$E$6:$E$305,"&lt;"&amp;TODAY())&gt;0,"Vencido",IF(Q180=0,"Sin pagos",IF(R180=0,"Pagado","Pago parcial"))))</x:f>
      </x:c>
      <x:c r="U180" s="87" t="str">
        <x:f>IF(B180="","",IF(AND(M180="Cotizado",J180&lt;&gt;""),"⚠ Quitá Precio contratado o cambiá Estado",IF(AND(OR(M180="Reservado",M180="Contratado",M180="Finalizado"),J180=""),"⚠ Falta Precio contratado","✓ OK")))</x:f>
      </x:c>
    </x:row>
    <x:row r="181">
      <x:c r="A181" s="61"/>
      <x:c r="B181" s="59"/>
      <x:c r="C181" s="24"/>
      <x:c r="D181" s="59"/>
      <x:c r="E181" s="59"/>
      <x:c r="F181" s="59"/>
      <x:c r="G181" s="59"/>
      <x:c r="H181" s="59"/>
      <x:c r="I181" s="63"/>
      <x:c r="J181" s="63"/>
      <x:c r="K181" s="24"/>
      <x:c r="L181" s="65"/>
      <x:c r="M181" s="24"/>
      <x:c r="N181" s="24"/>
      <x:c r="O181" s="59"/>
      <x:c r="P181" s="71"/>
      <x:c r="Q181" s="67" t="str">
        <x:f>IF(B181="","",SUMIFS(Pagos!$G$6:$G$305,Pagos!$B$6:$B$305,B181,Pagos!$J$6:$J$305,"Pagado"))</x:f>
      </x:c>
      <x:c r="R181" s="67" t="str">
        <x:f>IF(B181="","",MAX(0,IF(J181&lt;&gt;"",J181,IF(I181&lt;&gt;"",I181,0))-Q181))</x:f>
      </x:c>
      <x:c r="S181" s="69" t="str">
        <x:f>IF(B181="","",IFERROR(MINIFS(Pagos!$E$6:$E$305,Pagos!$B$6:$B$305,B181,Pagos!$J$6:$J$305,"Pendiente",Pagos!$E$6:$E$305,"&gt;="&amp;TODAY()),""))</x:f>
      </x:c>
      <x:c r="T181" s="61" t="str">
        <x:f>IF(B181="","",IF(COUNTIFS(Pagos!$B$6:$B$305,B181,Pagos!$J$6:$J$305,"Pendiente",Pagos!$E$6:$E$305,"&lt;"&amp;TODAY())&gt;0,"Vencido",IF(Q181=0,"Sin pagos",IF(R181=0,"Pagado","Pago parcial"))))</x:f>
      </x:c>
      <x:c r="U181" s="87" t="str">
        <x:f>IF(B181="","",IF(AND(M181="Cotizado",J181&lt;&gt;""),"⚠ Quitá Precio contratado o cambiá Estado",IF(AND(OR(M181="Reservado",M181="Contratado",M181="Finalizado"),J181=""),"⚠ Falta Precio contratado","✓ OK")))</x:f>
      </x:c>
    </x:row>
    <x:row r="182">
      <x:c r="A182" s="61"/>
      <x:c r="B182" s="59"/>
      <x:c r="C182" s="24"/>
      <x:c r="D182" s="59"/>
      <x:c r="E182" s="59"/>
      <x:c r="F182" s="59"/>
      <x:c r="G182" s="59"/>
      <x:c r="H182" s="59"/>
      <x:c r="I182" s="63"/>
      <x:c r="J182" s="63"/>
      <x:c r="K182" s="24"/>
      <x:c r="L182" s="65"/>
      <x:c r="M182" s="24"/>
      <x:c r="N182" s="24"/>
      <x:c r="O182" s="59"/>
      <x:c r="P182" s="71"/>
      <x:c r="Q182" s="67" t="str">
        <x:f>IF(B182="","",SUMIFS(Pagos!$G$6:$G$305,Pagos!$B$6:$B$305,B182,Pagos!$J$6:$J$305,"Pagado"))</x:f>
      </x:c>
      <x:c r="R182" s="67" t="str">
        <x:f>IF(B182="","",MAX(0,IF(J182&lt;&gt;"",J182,IF(I182&lt;&gt;"",I182,0))-Q182))</x:f>
      </x:c>
      <x:c r="S182" s="69" t="str">
        <x:f>IF(B182="","",IFERROR(MINIFS(Pagos!$E$6:$E$305,Pagos!$B$6:$B$305,B182,Pagos!$J$6:$J$305,"Pendiente",Pagos!$E$6:$E$305,"&gt;="&amp;TODAY()),""))</x:f>
      </x:c>
      <x:c r="T182" s="61" t="str">
        <x:f>IF(B182="","",IF(COUNTIFS(Pagos!$B$6:$B$305,B182,Pagos!$J$6:$J$305,"Pendiente",Pagos!$E$6:$E$305,"&lt;"&amp;TODAY())&gt;0,"Vencido",IF(Q182=0,"Sin pagos",IF(R182=0,"Pagado","Pago parcial"))))</x:f>
      </x:c>
      <x:c r="U182" s="87" t="str">
        <x:f>IF(B182="","",IF(AND(M182="Cotizado",J182&lt;&gt;""),"⚠ Quitá Precio contratado o cambiá Estado",IF(AND(OR(M182="Reservado",M182="Contratado",M182="Finalizado"),J182=""),"⚠ Falta Precio contratado","✓ OK")))</x:f>
      </x:c>
    </x:row>
    <x:row r="183">
      <x:c r="A183" s="61"/>
      <x:c r="B183" s="59"/>
      <x:c r="C183" s="24"/>
      <x:c r="D183" s="59"/>
      <x:c r="E183" s="59"/>
      <x:c r="F183" s="59"/>
      <x:c r="G183" s="59"/>
      <x:c r="H183" s="59"/>
      <x:c r="I183" s="63"/>
      <x:c r="J183" s="63"/>
      <x:c r="K183" s="24"/>
      <x:c r="L183" s="65"/>
      <x:c r="M183" s="24"/>
      <x:c r="N183" s="24"/>
      <x:c r="O183" s="59"/>
      <x:c r="P183" s="71"/>
      <x:c r="Q183" s="67" t="str">
        <x:f>IF(B183="","",SUMIFS(Pagos!$G$6:$G$305,Pagos!$B$6:$B$305,B183,Pagos!$J$6:$J$305,"Pagado"))</x:f>
      </x:c>
      <x:c r="R183" s="67" t="str">
        <x:f>IF(B183="","",MAX(0,IF(J183&lt;&gt;"",J183,IF(I183&lt;&gt;"",I183,0))-Q183))</x:f>
      </x:c>
      <x:c r="S183" s="69" t="str">
        <x:f>IF(B183="","",IFERROR(MINIFS(Pagos!$E$6:$E$305,Pagos!$B$6:$B$305,B183,Pagos!$J$6:$J$305,"Pendiente",Pagos!$E$6:$E$305,"&gt;="&amp;TODAY()),""))</x:f>
      </x:c>
      <x:c r="T183" s="61" t="str">
        <x:f>IF(B183="","",IF(COUNTIFS(Pagos!$B$6:$B$305,B183,Pagos!$J$6:$J$305,"Pendiente",Pagos!$E$6:$E$305,"&lt;"&amp;TODAY())&gt;0,"Vencido",IF(Q183=0,"Sin pagos",IF(R183=0,"Pagado","Pago parcial"))))</x:f>
      </x:c>
      <x:c r="U183" s="87" t="str">
        <x:f>IF(B183="","",IF(AND(M183="Cotizado",J183&lt;&gt;""),"⚠ Quitá Precio contratado o cambiá Estado",IF(AND(OR(M183="Reservado",M183="Contratado",M183="Finalizado"),J183=""),"⚠ Falta Precio contratado","✓ OK")))</x:f>
      </x:c>
    </x:row>
    <x:row r="184">
      <x:c r="A184" s="61"/>
      <x:c r="B184" s="59"/>
      <x:c r="C184" s="24"/>
      <x:c r="D184" s="59"/>
      <x:c r="E184" s="59"/>
      <x:c r="F184" s="59"/>
      <x:c r="G184" s="59"/>
      <x:c r="H184" s="59"/>
      <x:c r="I184" s="63"/>
      <x:c r="J184" s="63"/>
      <x:c r="K184" s="24"/>
      <x:c r="L184" s="65"/>
      <x:c r="M184" s="24"/>
      <x:c r="N184" s="24"/>
      <x:c r="O184" s="59"/>
      <x:c r="P184" s="71"/>
      <x:c r="Q184" s="67" t="str">
        <x:f>IF(B184="","",SUMIFS(Pagos!$G$6:$G$305,Pagos!$B$6:$B$305,B184,Pagos!$J$6:$J$305,"Pagado"))</x:f>
      </x:c>
      <x:c r="R184" s="67" t="str">
        <x:f>IF(B184="","",MAX(0,IF(J184&lt;&gt;"",J184,IF(I184&lt;&gt;"",I184,0))-Q184))</x:f>
      </x:c>
      <x:c r="S184" s="69" t="str">
        <x:f>IF(B184="","",IFERROR(MINIFS(Pagos!$E$6:$E$305,Pagos!$B$6:$B$305,B184,Pagos!$J$6:$J$305,"Pendiente",Pagos!$E$6:$E$305,"&gt;="&amp;TODAY()),""))</x:f>
      </x:c>
      <x:c r="T184" s="61" t="str">
        <x:f>IF(B184="","",IF(COUNTIFS(Pagos!$B$6:$B$305,B184,Pagos!$J$6:$J$305,"Pendiente",Pagos!$E$6:$E$305,"&lt;"&amp;TODAY())&gt;0,"Vencido",IF(Q184=0,"Sin pagos",IF(R184=0,"Pagado","Pago parcial"))))</x:f>
      </x:c>
      <x:c r="U184" s="87" t="str">
        <x:f>IF(B184="","",IF(AND(M184="Cotizado",J184&lt;&gt;""),"⚠ Quitá Precio contratado o cambiá Estado",IF(AND(OR(M184="Reservado",M184="Contratado",M184="Finalizado"),J184=""),"⚠ Falta Precio contratado","✓ OK")))</x:f>
      </x:c>
    </x:row>
    <x:row r="185">
      <x:c r="A185" s="61"/>
      <x:c r="B185" s="59"/>
      <x:c r="C185" s="24"/>
      <x:c r="D185" s="59"/>
      <x:c r="E185" s="59"/>
      <x:c r="F185" s="59"/>
      <x:c r="G185" s="59"/>
      <x:c r="H185" s="59"/>
      <x:c r="I185" s="63"/>
      <x:c r="J185" s="63"/>
      <x:c r="K185" s="24"/>
      <x:c r="L185" s="65"/>
      <x:c r="M185" s="24"/>
      <x:c r="N185" s="24"/>
      <x:c r="O185" s="59"/>
      <x:c r="P185" s="71"/>
      <x:c r="Q185" s="67" t="str">
        <x:f>IF(B185="","",SUMIFS(Pagos!$G$6:$G$305,Pagos!$B$6:$B$305,B185,Pagos!$J$6:$J$305,"Pagado"))</x:f>
      </x:c>
      <x:c r="R185" s="67" t="str">
        <x:f>IF(B185="","",MAX(0,IF(J185&lt;&gt;"",J185,IF(I185&lt;&gt;"",I185,0))-Q185))</x:f>
      </x:c>
      <x:c r="S185" s="69" t="str">
        <x:f>IF(B185="","",IFERROR(MINIFS(Pagos!$E$6:$E$305,Pagos!$B$6:$B$305,B185,Pagos!$J$6:$J$305,"Pendiente",Pagos!$E$6:$E$305,"&gt;="&amp;TODAY()),""))</x:f>
      </x:c>
      <x:c r="T185" s="61" t="str">
        <x:f>IF(B185="","",IF(COUNTIFS(Pagos!$B$6:$B$305,B185,Pagos!$J$6:$J$305,"Pendiente",Pagos!$E$6:$E$305,"&lt;"&amp;TODAY())&gt;0,"Vencido",IF(Q185=0,"Sin pagos",IF(R185=0,"Pagado","Pago parcial"))))</x:f>
      </x:c>
      <x:c r="U185" s="87" t="str">
        <x:f>IF(B185="","",IF(AND(M185="Cotizado",J185&lt;&gt;""),"⚠ Quitá Precio contratado o cambiá Estado",IF(AND(OR(M185="Reservado",M185="Contratado",M185="Finalizado"),J185=""),"⚠ Falta Precio contratado","✓ OK")))</x:f>
      </x:c>
    </x:row>
    <x:row r="186">
      <x:c r="A186" s="61"/>
      <x:c r="B186" s="59"/>
      <x:c r="C186" s="24"/>
      <x:c r="D186" s="59"/>
      <x:c r="E186" s="59"/>
      <x:c r="F186" s="59"/>
      <x:c r="G186" s="59"/>
      <x:c r="H186" s="59"/>
      <x:c r="I186" s="63"/>
      <x:c r="J186" s="63"/>
      <x:c r="K186" s="24"/>
      <x:c r="L186" s="65"/>
      <x:c r="M186" s="24"/>
      <x:c r="N186" s="24"/>
      <x:c r="O186" s="59"/>
      <x:c r="P186" s="71"/>
      <x:c r="Q186" s="67" t="str">
        <x:f>IF(B186="","",SUMIFS(Pagos!$G$6:$G$305,Pagos!$B$6:$B$305,B186,Pagos!$J$6:$J$305,"Pagado"))</x:f>
      </x:c>
      <x:c r="R186" s="67" t="str">
        <x:f>IF(B186="","",MAX(0,IF(J186&lt;&gt;"",J186,IF(I186&lt;&gt;"",I186,0))-Q186))</x:f>
      </x:c>
      <x:c r="S186" s="69" t="str">
        <x:f>IF(B186="","",IFERROR(MINIFS(Pagos!$E$6:$E$305,Pagos!$B$6:$B$305,B186,Pagos!$J$6:$J$305,"Pendiente",Pagos!$E$6:$E$305,"&gt;="&amp;TODAY()),""))</x:f>
      </x:c>
      <x:c r="T186" s="61" t="str">
        <x:f>IF(B186="","",IF(COUNTIFS(Pagos!$B$6:$B$305,B186,Pagos!$J$6:$J$305,"Pendiente",Pagos!$E$6:$E$305,"&lt;"&amp;TODAY())&gt;0,"Vencido",IF(Q186=0,"Sin pagos",IF(R186=0,"Pagado","Pago parcial"))))</x:f>
      </x:c>
      <x:c r="U186" s="87" t="str">
        <x:f>IF(B186="","",IF(AND(M186="Cotizado",J186&lt;&gt;""),"⚠ Quitá Precio contratado o cambiá Estado",IF(AND(OR(M186="Reservado",M186="Contratado",M186="Finalizado"),J186=""),"⚠ Falta Precio contratado","✓ OK")))</x:f>
      </x:c>
    </x:row>
    <x:row r="187">
      <x:c r="A187" s="61"/>
      <x:c r="B187" s="59"/>
      <x:c r="C187" s="24"/>
      <x:c r="D187" s="59"/>
      <x:c r="E187" s="59"/>
      <x:c r="F187" s="59"/>
      <x:c r="G187" s="59"/>
      <x:c r="H187" s="59"/>
      <x:c r="I187" s="63"/>
      <x:c r="J187" s="63"/>
      <x:c r="K187" s="24"/>
      <x:c r="L187" s="65"/>
      <x:c r="M187" s="24"/>
      <x:c r="N187" s="24"/>
      <x:c r="O187" s="59"/>
      <x:c r="P187" s="71"/>
      <x:c r="Q187" s="67" t="str">
        <x:f>IF(B187="","",SUMIFS(Pagos!$G$6:$G$305,Pagos!$B$6:$B$305,B187,Pagos!$J$6:$J$305,"Pagado"))</x:f>
      </x:c>
      <x:c r="R187" s="67" t="str">
        <x:f>IF(B187="","",MAX(0,IF(J187&lt;&gt;"",J187,IF(I187&lt;&gt;"",I187,0))-Q187))</x:f>
      </x:c>
      <x:c r="S187" s="69" t="str">
        <x:f>IF(B187="","",IFERROR(MINIFS(Pagos!$E$6:$E$305,Pagos!$B$6:$B$305,B187,Pagos!$J$6:$J$305,"Pendiente",Pagos!$E$6:$E$305,"&gt;="&amp;TODAY()),""))</x:f>
      </x:c>
      <x:c r="T187" s="61" t="str">
        <x:f>IF(B187="","",IF(COUNTIFS(Pagos!$B$6:$B$305,B187,Pagos!$J$6:$J$305,"Pendiente",Pagos!$E$6:$E$305,"&lt;"&amp;TODAY())&gt;0,"Vencido",IF(Q187=0,"Sin pagos",IF(R187=0,"Pagado","Pago parcial"))))</x:f>
      </x:c>
      <x:c r="U187" s="87" t="str">
        <x:f>IF(B187="","",IF(AND(M187="Cotizado",J187&lt;&gt;""),"⚠ Quitá Precio contratado o cambiá Estado",IF(AND(OR(M187="Reservado",M187="Contratado",M187="Finalizado"),J187=""),"⚠ Falta Precio contratado","✓ OK")))</x:f>
      </x:c>
    </x:row>
    <x:row r="188">
      <x:c r="A188" s="61"/>
      <x:c r="B188" s="59"/>
      <x:c r="C188" s="24"/>
      <x:c r="D188" s="59"/>
      <x:c r="E188" s="59"/>
      <x:c r="F188" s="59"/>
      <x:c r="G188" s="59"/>
      <x:c r="H188" s="59"/>
      <x:c r="I188" s="63"/>
      <x:c r="J188" s="63"/>
      <x:c r="K188" s="24"/>
      <x:c r="L188" s="65"/>
      <x:c r="M188" s="24"/>
      <x:c r="N188" s="24"/>
      <x:c r="O188" s="59"/>
      <x:c r="P188" s="71"/>
      <x:c r="Q188" s="67" t="str">
        <x:f>IF(B188="","",SUMIFS(Pagos!$G$6:$G$305,Pagos!$B$6:$B$305,B188,Pagos!$J$6:$J$305,"Pagado"))</x:f>
      </x:c>
      <x:c r="R188" s="67" t="str">
        <x:f>IF(B188="","",MAX(0,IF(J188&lt;&gt;"",J188,IF(I188&lt;&gt;"",I188,0))-Q188))</x:f>
      </x:c>
      <x:c r="S188" s="69" t="str">
        <x:f>IF(B188="","",IFERROR(MINIFS(Pagos!$E$6:$E$305,Pagos!$B$6:$B$305,B188,Pagos!$J$6:$J$305,"Pendiente",Pagos!$E$6:$E$305,"&gt;="&amp;TODAY()),""))</x:f>
      </x:c>
      <x:c r="T188" s="61" t="str">
        <x:f>IF(B188="","",IF(COUNTIFS(Pagos!$B$6:$B$305,B188,Pagos!$J$6:$J$305,"Pendiente",Pagos!$E$6:$E$305,"&lt;"&amp;TODAY())&gt;0,"Vencido",IF(Q188=0,"Sin pagos",IF(R188=0,"Pagado","Pago parcial"))))</x:f>
      </x:c>
      <x:c r="U188" s="87" t="str">
        <x:f>IF(B188="","",IF(AND(M188="Cotizado",J188&lt;&gt;""),"⚠ Quitá Precio contratado o cambiá Estado",IF(AND(OR(M188="Reservado",M188="Contratado",M188="Finalizado"),J188=""),"⚠ Falta Precio contratado","✓ OK")))</x:f>
      </x:c>
    </x:row>
    <x:row r="189">
      <x:c r="A189" s="61"/>
      <x:c r="B189" s="59"/>
      <x:c r="C189" s="24"/>
      <x:c r="D189" s="59"/>
      <x:c r="E189" s="59"/>
      <x:c r="F189" s="59"/>
      <x:c r="G189" s="59"/>
      <x:c r="H189" s="59"/>
      <x:c r="I189" s="63"/>
      <x:c r="J189" s="63"/>
      <x:c r="K189" s="24"/>
      <x:c r="L189" s="65"/>
      <x:c r="M189" s="24"/>
      <x:c r="N189" s="24"/>
      <x:c r="O189" s="59"/>
      <x:c r="P189" s="71"/>
      <x:c r="Q189" s="67" t="str">
        <x:f>IF(B189="","",SUMIFS(Pagos!$G$6:$G$305,Pagos!$B$6:$B$305,B189,Pagos!$J$6:$J$305,"Pagado"))</x:f>
      </x:c>
      <x:c r="R189" s="67" t="str">
        <x:f>IF(B189="","",MAX(0,IF(J189&lt;&gt;"",J189,IF(I189&lt;&gt;"",I189,0))-Q189))</x:f>
      </x:c>
      <x:c r="S189" s="69" t="str">
        <x:f>IF(B189="","",IFERROR(MINIFS(Pagos!$E$6:$E$305,Pagos!$B$6:$B$305,B189,Pagos!$J$6:$J$305,"Pendiente",Pagos!$E$6:$E$305,"&gt;="&amp;TODAY()),""))</x:f>
      </x:c>
      <x:c r="T189" s="61" t="str">
        <x:f>IF(B189="","",IF(COUNTIFS(Pagos!$B$6:$B$305,B189,Pagos!$J$6:$J$305,"Pendiente",Pagos!$E$6:$E$305,"&lt;"&amp;TODAY())&gt;0,"Vencido",IF(Q189=0,"Sin pagos",IF(R189=0,"Pagado","Pago parcial"))))</x:f>
      </x:c>
      <x:c r="U189" s="87" t="str">
        <x:f>IF(B189="","",IF(AND(M189="Cotizado",J189&lt;&gt;""),"⚠ Quitá Precio contratado o cambiá Estado",IF(AND(OR(M189="Reservado",M189="Contratado",M189="Finalizado"),J189=""),"⚠ Falta Precio contratado","✓ OK")))</x:f>
      </x:c>
    </x:row>
    <x:row r="190">
      <x:c r="A190" s="61"/>
      <x:c r="B190" s="59"/>
      <x:c r="C190" s="24"/>
      <x:c r="D190" s="59"/>
      <x:c r="E190" s="59"/>
      <x:c r="F190" s="59"/>
      <x:c r="G190" s="59"/>
      <x:c r="H190" s="59"/>
      <x:c r="I190" s="63"/>
      <x:c r="J190" s="63"/>
      <x:c r="K190" s="24"/>
      <x:c r="L190" s="65"/>
      <x:c r="M190" s="24"/>
      <x:c r="N190" s="24"/>
      <x:c r="O190" s="59"/>
      <x:c r="P190" s="71"/>
      <x:c r="Q190" s="67" t="str">
        <x:f>IF(B190="","",SUMIFS(Pagos!$G$6:$G$305,Pagos!$B$6:$B$305,B190,Pagos!$J$6:$J$305,"Pagado"))</x:f>
      </x:c>
      <x:c r="R190" s="67" t="str">
        <x:f>IF(B190="","",MAX(0,IF(J190&lt;&gt;"",J190,IF(I190&lt;&gt;"",I190,0))-Q190))</x:f>
      </x:c>
      <x:c r="S190" s="69" t="str">
        <x:f>IF(B190="","",IFERROR(MINIFS(Pagos!$E$6:$E$305,Pagos!$B$6:$B$305,B190,Pagos!$J$6:$J$305,"Pendiente",Pagos!$E$6:$E$305,"&gt;="&amp;TODAY()),""))</x:f>
      </x:c>
      <x:c r="T190" s="61" t="str">
        <x:f>IF(B190="","",IF(COUNTIFS(Pagos!$B$6:$B$305,B190,Pagos!$J$6:$J$305,"Pendiente",Pagos!$E$6:$E$305,"&lt;"&amp;TODAY())&gt;0,"Vencido",IF(Q190=0,"Sin pagos",IF(R190=0,"Pagado","Pago parcial"))))</x:f>
      </x:c>
      <x:c r="U190" s="87" t="str">
        <x:f>IF(B190="","",IF(AND(M190="Cotizado",J190&lt;&gt;""),"⚠ Quitá Precio contratado o cambiá Estado",IF(AND(OR(M190="Reservado",M190="Contratado",M190="Finalizado"),J190=""),"⚠ Falta Precio contratado","✓ OK")))</x:f>
      </x:c>
    </x:row>
    <x:row r="191">
      <x:c r="A191" s="61"/>
      <x:c r="B191" s="59"/>
      <x:c r="C191" s="24"/>
      <x:c r="D191" s="59"/>
      <x:c r="E191" s="59"/>
      <x:c r="F191" s="59"/>
      <x:c r="G191" s="59"/>
      <x:c r="H191" s="59"/>
      <x:c r="I191" s="63"/>
      <x:c r="J191" s="63"/>
      <x:c r="K191" s="24"/>
      <x:c r="L191" s="65"/>
      <x:c r="M191" s="24"/>
      <x:c r="N191" s="24"/>
      <x:c r="O191" s="59"/>
      <x:c r="P191" s="71"/>
      <x:c r="Q191" s="67" t="str">
        <x:f>IF(B191="","",SUMIFS(Pagos!$G$6:$G$305,Pagos!$B$6:$B$305,B191,Pagos!$J$6:$J$305,"Pagado"))</x:f>
      </x:c>
      <x:c r="R191" s="67" t="str">
        <x:f>IF(B191="","",MAX(0,IF(J191&lt;&gt;"",J191,IF(I191&lt;&gt;"",I191,0))-Q191))</x:f>
      </x:c>
      <x:c r="S191" s="69" t="str">
        <x:f>IF(B191="","",IFERROR(MINIFS(Pagos!$E$6:$E$305,Pagos!$B$6:$B$305,B191,Pagos!$J$6:$J$305,"Pendiente",Pagos!$E$6:$E$305,"&gt;="&amp;TODAY()),""))</x:f>
      </x:c>
      <x:c r="T191" s="61" t="str">
        <x:f>IF(B191="","",IF(COUNTIFS(Pagos!$B$6:$B$305,B191,Pagos!$J$6:$J$305,"Pendiente",Pagos!$E$6:$E$305,"&lt;"&amp;TODAY())&gt;0,"Vencido",IF(Q191=0,"Sin pagos",IF(R191=0,"Pagado","Pago parcial"))))</x:f>
      </x:c>
      <x:c r="U191" s="87" t="str">
        <x:f>IF(B191="","",IF(AND(M191="Cotizado",J191&lt;&gt;""),"⚠ Quitá Precio contratado o cambiá Estado",IF(AND(OR(M191="Reservado",M191="Contratado",M191="Finalizado"),J191=""),"⚠ Falta Precio contratado","✓ OK")))</x:f>
      </x:c>
    </x:row>
    <x:row r="192">
      <x:c r="A192" s="61"/>
      <x:c r="B192" s="59"/>
      <x:c r="C192" s="24"/>
      <x:c r="D192" s="59"/>
      <x:c r="E192" s="59"/>
      <x:c r="F192" s="59"/>
      <x:c r="G192" s="59"/>
      <x:c r="H192" s="59"/>
      <x:c r="I192" s="63"/>
      <x:c r="J192" s="63"/>
      <x:c r="K192" s="24"/>
      <x:c r="L192" s="65"/>
      <x:c r="M192" s="24"/>
      <x:c r="N192" s="24"/>
      <x:c r="O192" s="59"/>
      <x:c r="P192" s="71"/>
      <x:c r="Q192" s="67" t="str">
        <x:f>IF(B192="","",SUMIFS(Pagos!$G$6:$G$305,Pagos!$B$6:$B$305,B192,Pagos!$J$6:$J$305,"Pagado"))</x:f>
      </x:c>
      <x:c r="R192" s="67" t="str">
        <x:f>IF(B192="","",MAX(0,IF(J192&lt;&gt;"",J192,IF(I192&lt;&gt;"",I192,0))-Q192))</x:f>
      </x:c>
      <x:c r="S192" s="69" t="str">
        <x:f>IF(B192="","",IFERROR(MINIFS(Pagos!$E$6:$E$305,Pagos!$B$6:$B$305,B192,Pagos!$J$6:$J$305,"Pendiente",Pagos!$E$6:$E$305,"&gt;="&amp;TODAY()),""))</x:f>
      </x:c>
      <x:c r="T192" s="61" t="str">
        <x:f>IF(B192="","",IF(COUNTIFS(Pagos!$B$6:$B$305,B192,Pagos!$J$6:$J$305,"Pendiente",Pagos!$E$6:$E$305,"&lt;"&amp;TODAY())&gt;0,"Vencido",IF(Q192=0,"Sin pagos",IF(R192=0,"Pagado","Pago parcial"))))</x:f>
      </x:c>
      <x:c r="U192" s="87" t="str">
        <x:f>IF(B192="","",IF(AND(M192="Cotizado",J192&lt;&gt;""),"⚠ Quitá Precio contratado o cambiá Estado",IF(AND(OR(M192="Reservado",M192="Contratado",M192="Finalizado"),J192=""),"⚠ Falta Precio contratado","✓ OK")))</x:f>
      </x:c>
    </x:row>
    <x:row r="193">
      <x:c r="A193" s="61"/>
      <x:c r="B193" s="59"/>
      <x:c r="C193" s="24"/>
      <x:c r="D193" s="59"/>
      <x:c r="E193" s="59"/>
      <x:c r="F193" s="59"/>
      <x:c r="G193" s="59"/>
      <x:c r="H193" s="59"/>
      <x:c r="I193" s="63"/>
      <x:c r="J193" s="63"/>
      <x:c r="K193" s="24"/>
      <x:c r="L193" s="65"/>
      <x:c r="M193" s="24"/>
      <x:c r="N193" s="24"/>
      <x:c r="O193" s="59"/>
      <x:c r="P193" s="71"/>
      <x:c r="Q193" s="67" t="str">
        <x:f>IF(B193="","",SUMIFS(Pagos!$G$6:$G$305,Pagos!$B$6:$B$305,B193,Pagos!$J$6:$J$305,"Pagado"))</x:f>
      </x:c>
      <x:c r="R193" s="67" t="str">
        <x:f>IF(B193="","",MAX(0,IF(J193&lt;&gt;"",J193,IF(I193&lt;&gt;"",I193,0))-Q193))</x:f>
      </x:c>
      <x:c r="S193" s="69" t="str">
        <x:f>IF(B193="","",IFERROR(MINIFS(Pagos!$E$6:$E$305,Pagos!$B$6:$B$305,B193,Pagos!$J$6:$J$305,"Pendiente",Pagos!$E$6:$E$305,"&gt;="&amp;TODAY()),""))</x:f>
      </x:c>
      <x:c r="T193" s="61" t="str">
        <x:f>IF(B193="","",IF(COUNTIFS(Pagos!$B$6:$B$305,B193,Pagos!$J$6:$J$305,"Pendiente",Pagos!$E$6:$E$305,"&lt;"&amp;TODAY())&gt;0,"Vencido",IF(Q193=0,"Sin pagos",IF(R193=0,"Pagado","Pago parcial"))))</x:f>
      </x:c>
      <x:c r="U193" s="87" t="str">
        <x:f>IF(B193="","",IF(AND(M193="Cotizado",J193&lt;&gt;""),"⚠ Quitá Precio contratado o cambiá Estado",IF(AND(OR(M193="Reservado",M193="Contratado",M193="Finalizado"),J193=""),"⚠ Falta Precio contratado","✓ OK")))</x:f>
      </x:c>
    </x:row>
    <x:row r="194">
      <x:c r="A194" s="61"/>
      <x:c r="B194" s="59"/>
      <x:c r="C194" s="24"/>
      <x:c r="D194" s="59"/>
      <x:c r="E194" s="59"/>
      <x:c r="F194" s="59"/>
      <x:c r="G194" s="59"/>
      <x:c r="H194" s="59"/>
      <x:c r="I194" s="63"/>
      <x:c r="J194" s="63"/>
      <x:c r="K194" s="24"/>
      <x:c r="L194" s="65"/>
      <x:c r="M194" s="24"/>
      <x:c r="N194" s="24"/>
      <x:c r="O194" s="59"/>
      <x:c r="P194" s="71"/>
      <x:c r="Q194" s="67" t="str">
        <x:f>IF(B194="","",SUMIFS(Pagos!$G$6:$G$305,Pagos!$B$6:$B$305,B194,Pagos!$J$6:$J$305,"Pagado"))</x:f>
      </x:c>
      <x:c r="R194" s="67" t="str">
        <x:f>IF(B194="","",MAX(0,IF(J194&lt;&gt;"",J194,IF(I194&lt;&gt;"",I194,0))-Q194))</x:f>
      </x:c>
      <x:c r="S194" s="69" t="str">
        <x:f>IF(B194="","",IFERROR(MINIFS(Pagos!$E$6:$E$305,Pagos!$B$6:$B$305,B194,Pagos!$J$6:$J$305,"Pendiente",Pagos!$E$6:$E$305,"&gt;="&amp;TODAY()),""))</x:f>
      </x:c>
      <x:c r="T194" s="61" t="str">
        <x:f>IF(B194="","",IF(COUNTIFS(Pagos!$B$6:$B$305,B194,Pagos!$J$6:$J$305,"Pendiente",Pagos!$E$6:$E$305,"&lt;"&amp;TODAY())&gt;0,"Vencido",IF(Q194=0,"Sin pagos",IF(R194=0,"Pagado","Pago parcial"))))</x:f>
      </x:c>
      <x:c r="U194" s="87" t="str">
        <x:f>IF(B194="","",IF(AND(M194="Cotizado",J194&lt;&gt;""),"⚠ Quitá Precio contratado o cambiá Estado",IF(AND(OR(M194="Reservado",M194="Contratado",M194="Finalizado"),J194=""),"⚠ Falta Precio contratado","✓ OK")))</x:f>
      </x:c>
    </x:row>
    <x:row r="195">
      <x:c r="A195" s="61"/>
      <x:c r="B195" s="59"/>
      <x:c r="C195" s="24"/>
      <x:c r="D195" s="59"/>
      <x:c r="E195" s="59"/>
      <x:c r="F195" s="59"/>
      <x:c r="G195" s="59"/>
      <x:c r="H195" s="59"/>
      <x:c r="I195" s="63"/>
      <x:c r="J195" s="63"/>
      <x:c r="K195" s="24"/>
      <x:c r="L195" s="65"/>
      <x:c r="M195" s="24"/>
      <x:c r="N195" s="24"/>
      <x:c r="O195" s="59"/>
      <x:c r="P195" s="71"/>
      <x:c r="Q195" s="67" t="str">
        <x:f>IF(B195="","",SUMIFS(Pagos!$G$6:$G$305,Pagos!$B$6:$B$305,B195,Pagos!$J$6:$J$305,"Pagado"))</x:f>
      </x:c>
      <x:c r="R195" s="67" t="str">
        <x:f>IF(B195="","",MAX(0,IF(J195&lt;&gt;"",J195,IF(I195&lt;&gt;"",I195,0))-Q195))</x:f>
      </x:c>
      <x:c r="S195" s="69" t="str">
        <x:f>IF(B195="","",IFERROR(MINIFS(Pagos!$E$6:$E$305,Pagos!$B$6:$B$305,B195,Pagos!$J$6:$J$305,"Pendiente",Pagos!$E$6:$E$305,"&gt;="&amp;TODAY()),""))</x:f>
      </x:c>
      <x:c r="T195" s="61" t="str">
        <x:f>IF(B195="","",IF(COUNTIFS(Pagos!$B$6:$B$305,B195,Pagos!$J$6:$J$305,"Pendiente",Pagos!$E$6:$E$305,"&lt;"&amp;TODAY())&gt;0,"Vencido",IF(Q195=0,"Sin pagos",IF(R195=0,"Pagado","Pago parcial"))))</x:f>
      </x:c>
      <x:c r="U195" s="87" t="str">
        <x:f>IF(B195="","",IF(AND(M195="Cotizado",J195&lt;&gt;""),"⚠ Quitá Precio contratado o cambiá Estado",IF(AND(OR(M195="Reservado",M195="Contratado",M195="Finalizado"),J195=""),"⚠ Falta Precio contratado","✓ OK")))</x:f>
      </x:c>
    </x:row>
    <x:row r="196">
      <x:c r="A196" s="61"/>
      <x:c r="B196" s="59"/>
      <x:c r="C196" s="24"/>
      <x:c r="D196" s="59"/>
      <x:c r="E196" s="59"/>
      <x:c r="F196" s="59"/>
      <x:c r="G196" s="59"/>
      <x:c r="H196" s="59"/>
      <x:c r="I196" s="63"/>
      <x:c r="J196" s="63"/>
      <x:c r="K196" s="24"/>
      <x:c r="L196" s="65"/>
      <x:c r="M196" s="24"/>
      <x:c r="N196" s="24"/>
      <x:c r="O196" s="59"/>
      <x:c r="P196" s="71"/>
      <x:c r="Q196" s="67" t="str">
        <x:f>IF(B196="","",SUMIFS(Pagos!$G$6:$G$305,Pagos!$B$6:$B$305,B196,Pagos!$J$6:$J$305,"Pagado"))</x:f>
      </x:c>
      <x:c r="R196" s="67" t="str">
        <x:f>IF(B196="","",MAX(0,IF(J196&lt;&gt;"",J196,IF(I196&lt;&gt;"",I196,0))-Q196))</x:f>
      </x:c>
      <x:c r="S196" s="69" t="str">
        <x:f>IF(B196="","",IFERROR(MINIFS(Pagos!$E$6:$E$305,Pagos!$B$6:$B$305,B196,Pagos!$J$6:$J$305,"Pendiente",Pagos!$E$6:$E$305,"&gt;="&amp;TODAY()),""))</x:f>
      </x:c>
      <x:c r="T196" s="61" t="str">
        <x:f>IF(B196="","",IF(COUNTIFS(Pagos!$B$6:$B$305,B196,Pagos!$J$6:$J$305,"Pendiente",Pagos!$E$6:$E$305,"&lt;"&amp;TODAY())&gt;0,"Vencido",IF(Q196=0,"Sin pagos",IF(R196=0,"Pagado","Pago parcial"))))</x:f>
      </x:c>
      <x:c r="U196" s="87" t="str">
        <x:f>IF(B196="","",IF(AND(M196="Cotizado",J196&lt;&gt;""),"⚠ Quitá Precio contratado o cambiá Estado",IF(AND(OR(M196="Reservado",M196="Contratado",M196="Finalizado"),J196=""),"⚠ Falta Precio contratado","✓ OK")))</x:f>
      </x:c>
    </x:row>
    <x:row r="197">
      <x:c r="A197" s="61"/>
      <x:c r="B197" s="59"/>
      <x:c r="C197" s="24"/>
      <x:c r="D197" s="59"/>
      <x:c r="E197" s="59"/>
      <x:c r="F197" s="59"/>
      <x:c r="G197" s="59"/>
      <x:c r="H197" s="59"/>
      <x:c r="I197" s="63"/>
      <x:c r="J197" s="63"/>
      <x:c r="K197" s="24"/>
      <x:c r="L197" s="65"/>
      <x:c r="M197" s="24"/>
      <x:c r="N197" s="24"/>
      <x:c r="O197" s="59"/>
      <x:c r="P197" s="71"/>
      <x:c r="Q197" s="67" t="str">
        <x:f>IF(B197="","",SUMIFS(Pagos!$G$6:$G$305,Pagos!$B$6:$B$305,B197,Pagos!$J$6:$J$305,"Pagado"))</x:f>
      </x:c>
      <x:c r="R197" s="67" t="str">
        <x:f>IF(B197="","",MAX(0,IF(J197&lt;&gt;"",J197,IF(I197&lt;&gt;"",I197,0))-Q197))</x:f>
      </x:c>
      <x:c r="S197" s="69" t="str">
        <x:f>IF(B197="","",IFERROR(MINIFS(Pagos!$E$6:$E$305,Pagos!$B$6:$B$305,B197,Pagos!$J$6:$J$305,"Pendiente",Pagos!$E$6:$E$305,"&gt;="&amp;TODAY()),""))</x:f>
      </x:c>
      <x:c r="T197" s="61" t="str">
        <x:f>IF(B197="","",IF(COUNTIFS(Pagos!$B$6:$B$305,B197,Pagos!$J$6:$J$305,"Pendiente",Pagos!$E$6:$E$305,"&lt;"&amp;TODAY())&gt;0,"Vencido",IF(Q197=0,"Sin pagos",IF(R197=0,"Pagado","Pago parcial"))))</x:f>
      </x:c>
      <x:c r="U197" s="87" t="str">
        <x:f>IF(B197="","",IF(AND(M197="Cotizado",J197&lt;&gt;""),"⚠ Quitá Precio contratado o cambiá Estado",IF(AND(OR(M197="Reservado",M197="Contratado",M197="Finalizado"),J197=""),"⚠ Falta Precio contratado","✓ OK")))</x:f>
      </x:c>
    </x:row>
    <x:row r="198">
      <x:c r="A198" s="61"/>
      <x:c r="B198" s="59"/>
      <x:c r="C198" s="24"/>
      <x:c r="D198" s="59"/>
      <x:c r="E198" s="59"/>
      <x:c r="F198" s="59"/>
      <x:c r="G198" s="59"/>
      <x:c r="H198" s="59"/>
      <x:c r="I198" s="63"/>
      <x:c r="J198" s="63"/>
      <x:c r="K198" s="24"/>
      <x:c r="L198" s="65"/>
      <x:c r="M198" s="24"/>
      <x:c r="N198" s="24"/>
      <x:c r="O198" s="59"/>
      <x:c r="P198" s="71"/>
      <x:c r="Q198" s="67" t="str">
        <x:f>IF(B198="","",SUMIFS(Pagos!$G$6:$G$305,Pagos!$B$6:$B$305,B198,Pagos!$J$6:$J$305,"Pagado"))</x:f>
      </x:c>
      <x:c r="R198" s="67" t="str">
        <x:f>IF(B198="","",MAX(0,IF(J198&lt;&gt;"",J198,IF(I198&lt;&gt;"",I198,0))-Q198))</x:f>
      </x:c>
      <x:c r="S198" s="69" t="str">
        <x:f>IF(B198="","",IFERROR(MINIFS(Pagos!$E$6:$E$305,Pagos!$B$6:$B$305,B198,Pagos!$J$6:$J$305,"Pendiente",Pagos!$E$6:$E$305,"&gt;="&amp;TODAY()),""))</x:f>
      </x:c>
      <x:c r="T198" s="61" t="str">
        <x:f>IF(B198="","",IF(COUNTIFS(Pagos!$B$6:$B$305,B198,Pagos!$J$6:$J$305,"Pendiente",Pagos!$E$6:$E$305,"&lt;"&amp;TODAY())&gt;0,"Vencido",IF(Q198=0,"Sin pagos",IF(R198=0,"Pagado","Pago parcial"))))</x:f>
      </x:c>
      <x:c r="U198" s="87" t="str">
        <x:f>IF(B198="","",IF(AND(M198="Cotizado",J198&lt;&gt;""),"⚠ Quitá Precio contratado o cambiá Estado",IF(AND(OR(M198="Reservado",M198="Contratado",M198="Finalizado"),J198=""),"⚠ Falta Precio contratado","✓ OK")))</x:f>
      </x:c>
    </x:row>
    <x:row r="199">
      <x:c r="A199" s="61"/>
      <x:c r="B199" s="59"/>
      <x:c r="C199" s="24"/>
      <x:c r="D199" s="59"/>
      <x:c r="E199" s="59"/>
      <x:c r="F199" s="59"/>
      <x:c r="G199" s="59"/>
      <x:c r="H199" s="59"/>
      <x:c r="I199" s="63"/>
      <x:c r="J199" s="63"/>
      <x:c r="K199" s="24"/>
      <x:c r="L199" s="65"/>
      <x:c r="M199" s="24"/>
      <x:c r="N199" s="24"/>
      <x:c r="O199" s="59"/>
      <x:c r="P199" s="71"/>
      <x:c r="Q199" s="67" t="str">
        <x:f>IF(B199="","",SUMIFS(Pagos!$G$6:$G$305,Pagos!$B$6:$B$305,B199,Pagos!$J$6:$J$305,"Pagado"))</x:f>
      </x:c>
      <x:c r="R199" s="67" t="str">
        <x:f>IF(B199="","",MAX(0,IF(J199&lt;&gt;"",J199,IF(I199&lt;&gt;"",I199,0))-Q199))</x:f>
      </x:c>
      <x:c r="S199" s="69" t="str">
        <x:f>IF(B199="","",IFERROR(MINIFS(Pagos!$E$6:$E$305,Pagos!$B$6:$B$305,B199,Pagos!$J$6:$J$305,"Pendiente",Pagos!$E$6:$E$305,"&gt;="&amp;TODAY()),""))</x:f>
      </x:c>
      <x:c r="T199" s="61" t="str">
        <x:f>IF(B199="","",IF(COUNTIFS(Pagos!$B$6:$B$305,B199,Pagos!$J$6:$J$305,"Pendiente",Pagos!$E$6:$E$305,"&lt;"&amp;TODAY())&gt;0,"Vencido",IF(Q199=0,"Sin pagos",IF(R199=0,"Pagado","Pago parcial"))))</x:f>
      </x:c>
      <x:c r="U199" s="87" t="str">
        <x:f>IF(B199="","",IF(AND(M199="Cotizado",J199&lt;&gt;""),"⚠ Quitá Precio contratado o cambiá Estado",IF(AND(OR(M199="Reservado",M199="Contratado",M199="Finalizado"),J199=""),"⚠ Falta Precio contratado","✓ OK")))</x:f>
      </x:c>
    </x:row>
    <x:row r="200">
      <x:c r="A200" s="61"/>
      <x:c r="B200" s="59"/>
      <x:c r="C200" s="24"/>
      <x:c r="D200" s="59"/>
      <x:c r="E200" s="59"/>
      <x:c r="F200" s="59"/>
      <x:c r="G200" s="59"/>
      <x:c r="H200" s="59"/>
      <x:c r="I200" s="63"/>
      <x:c r="J200" s="63"/>
      <x:c r="K200" s="24"/>
      <x:c r="L200" s="65"/>
      <x:c r="M200" s="24"/>
      <x:c r="N200" s="24"/>
      <x:c r="O200" s="59"/>
      <x:c r="P200" s="71"/>
      <x:c r="Q200" s="67" t="str">
        <x:f>IF(B200="","",SUMIFS(Pagos!$G$6:$G$305,Pagos!$B$6:$B$305,B200,Pagos!$J$6:$J$305,"Pagado"))</x:f>
      </x:c>
      <x:c r="R200" s="67" t="str">
        <x:f>IF(B200="","",MAX(0,IF(J200&lt;&gt;"",J200,IF(I200&lt;&gt;"",I200,0))-Q200))</x:f>
      </x:c>
      <x:c r="S200" s="69" t="str">
        <x:f>IF(B200="","",IFERROR(MINIFS(Pagos!$E$6:$E$305,Pagos!$B$6:$B$305,B200,Pagos!$J$6:$J$305,"Pendiente",Pagos!$E$6:$E$305,"&gt;="&amp;TODAY()),""))</x:f>
      </x:c>
      <x:c r="T200" s="61" t="str">
        <x:f>IF(B200="","",IF(COUNTIFS(Pagos!$B$6:$B$305,B200,Pagos!$J$6:$J$305,"Pendiente",Pagos!$E$6:$E$305,"&lt;"&amp;TODAY())&gt;0,"Vencido",IF(Q200=0,"Sin pagos",IF(R200=0,"Pagado","Pago parcial"))))</x:f>
      </x:c>
      <x:c r="U200" s="87" t="str">
        <x:f>IF(B200="","",IF(AND(M200="Cotizado",J200&lt;&gt;""),"⚠ Quitá Precio contratado o cambiá Estado",IF(AND(OR(M200="Reservado",M200="Contratado",M200="Finalizado"),J200=""),"⚠ Falta Precio contratado","✓ OK")))</x:f>
      </x:c>
    </x:row>
    <x:row r="201">
      <x:c r="A201" s="61"/>
      <x:c r="B201" s="59"/>
      <x:c r="C201" s="24"/>
      <x:c r="D201" s="59"/>
      <x:c r="E201" s="59"/>
      <x:c r="F201" s="59"/>
      <x:c r="G201" s="59"/>
      <x:c r="H201" s="59"/>
      <x:c r="I201" s="63"/>
      <x:c r="J201" s="63"/>
      <x:c r="K201" s="24"/>
      <x:c r="L201" s="65"/>
      <x:c r="M201" s="24"/>
      <x:c r="N201" s="24"/>
      <x:c r="O201" s="59"/>
      <x:c r="P201" s="71"/>
      <x:c r="Q201" s="67" t="str">
        <x:f>IF(B201="","",SUMIFS(Pagos!$G$6:$G$305,Pagos!$B$6:$B$305,B201,Pagos!$J$6:$J$305,"Pagado"))</x:f>
      </x:c>
      <x:c r="R201" s="67" t="str">
        <x:f>IF(B201="","",MAX(0,IF(J201&lt;&gt;"",J201,IF(I201&lt;&gt;"",I201,0))-Q201))</x:f>
      </x:c>
      <x:c r="S201" s="69" t="str">
        <x:f>IF(B201="","",IFERROR(MINIFS(Pagos!$E$6:$E$305,Pagos!$B$6:$B$305,B201,Pagos!$J$6:$J$305,"Pendiente",Pagos!$E$6:$E$305,"&gt;="&amp;TODAY()),""))</x:f>
      </x:c>
      <x:c r="T201" s="61" t="str">
        <x:f>IF(B201="","",IF(COUNTIFS(Pagos!$B$6:$B$305,B201,Pagos!$J$6:$J$305,"Pendiente",Pagos!$E$6:$E$305,"&lt;"&amp;TODAY())&gt;0,"Vencido",IF(Q201=0,"Sin pagos",IF(R201=0,"Pagado","Pago parcial"))))</x:f>
      </x:c>
      <x:c r="U201" s="87" t="str">
        <x:f>IF(B201="","",IF(AND(M201="Cotizado",J201&lt;&gt;""),"⚠ Quitá Precio contratado o cambiá Estado",IF(AND(OR(M201="Reservado",M201="Contratado",M201="Finalizado"),J201=""),"⚠ Falta Precio contratado","✓ OK")))</x:f>
      </x:c>
    </x:row>
    <x:row r="202">
      <x:c r="A202" s="61"/>
      <x:c r="B202" s="59"/>
      <x:c r="C202" s="24"/>
      <x:c r="D202" s="59"/>
      <x:c r="E202" s="59"/>
      <x:c r="F202" s="59"/>
      <x:c r="G202" s="59"/>
      <x:c r="H202" s="59"/>
      <x:c r="I202" s="63"/>
      <x:c r="J202" s="63"/>
      <x:c r="K202" s="24"/>
      <x:c r="L202" s="65"/>
      <x:c r="M202" s="24"/>
      <x:c r="N202" s="24"/>
      <x:c r="O202" s="59"/>
      <x:c r="P202" s="71"/>
      <x:c r="Q202" s="67" t="str">
        <x:f>IF(B202="","",SUMIFS(Pagos!$G$6:$G$305,Pagos!$B$6:$B$305,B202,Pagos!$J$6:$J$305,"Pagado"))</x:f>
      </x:c>
      <x:c r="R202" s="67" t="str">
        <x:f>IF(B202="","",MAX(0,IF(J202&lt;&gt;"",J202,IF(I202&lt;&gt;"",I202,0))-Q202))</x:f>
      </x:c>
      <x:c r="S202" s="69" t="str">
        <x:f>IF(B202="","",IFERROR(MINIFS(Pagos!$E$6:$E$305,Pagos!$B$6:$B$305,B202,Pagos!$J$6:$J$305,"Pendiente",Pagos!$E$6:$E$305,"&gt;="&amp;TODAY()),""))</x:f>
      </x:c>
      <x:c r="T202" s="61" t="str">
        <x:f>IF(B202="","",IF(COUNTIFS(Pagos!$B$6:$B$305,B202,Pagos!$J$6:$J$305,"Pendiente",Pagos!$E$6:$E$305,"&lt;"&amp;TODAY())&gt;0,"Vencido",IF(Q202=0,"Sin pagos",IF(R202=0,"Pagado","Pago parcial"))))</x:f>
      </x:c>
      <x:c r="U202" s="87" t="str">
        <x:f>IF(B202="","",IF(AND(M202="Cotizado",J202&lt;&gt;""),"⚠ Quitá Precio contratado o cambiá Estado",IF(AND(OR(M202="Reservado",M202="Contratado",M202="Finalizado"),J202=""),"⚠ Falta Precio contratado","✓ OK")))</x:f>
      </x:c>
    </x:row>
    <x:row r="203">
      <x:c r="A203" s="61"/>
      <x:c r="B203" s="59"/>
      <x:c r="C203" s="24"/>
      <x:c r="D203" s="59"/>
      <x:c r="E203" s="59"/>
      <x:c r="F203" s="59"/>
      <x:c r="G203" s="59"/>
      <x:c r="H203" s="59"/>
      <x:c r="I203" s="63"/>
      <x:c r="J203" s="63"/>
      <x:c r="K203" s="24"/>
      <x:c r="L203" s="65"/>
      <x:c r="M203" s="24"/>
      <x:c r="N203" s="24"/>
      <x:c r="O203" s="59"/>
      <x:c r="P203" s="71"/>
      <x:c r="Q203" s="67" t="str">
        <x:f>IF(B203="","",SUMIFS(Pagos!$G$6:$G$305,Pagos!$B$6:$B$305,B203,Pagos!$J$6:$J$305,"Pagado"))</x:f>
      </x:c>
      <x:c r="R203" s="67" t="str">
        <x:f>IF(B203="","",MAX(0,IF(J203&lt;&gt;"",J203,IF(I203&lt;&gt;"",I203,0))-Q203))</x:f>
      </x:c>
      <x:c r="S203" s="69" t="str">
        <x:f>IF(B203="","",IFERROR(MINIFS(Pagos!$E$6:$E$305,Pagos!$B$6:$B$305,B203,Pagos!$J$6:$J$305,"Pendiente",Pagos!$E$6:$E$305,"&gt;="&amp;TODAY()),""))</x:f>
      </x:c>
      <x:c r="T203" s="61" t="str">
        <x:f>IF(B203="","",IF(COUNTIFS(Pagos!$B$6:$B$305,B203,Pagos!$J$6:$J$305,"Pendiente",Pagos!$E$6:$E$305,"&lt;"&amp;TODAY())&gt;0,"Vencido",IF(Q203=0,"Sin pagos",IF(R203=0,"Pagado","Pago parcial"))))</x:f>
      </x:c>
      <x:c r="U203" s="87" t="str">
        <x:f>IF(B203="","",IF(AND(M203="Cotizado",J203&lt;&gt;""),"⚠ Quitá Precio contratado o cambiá Estado",IF(AND(OR(M203="Reservado",M203="Contratado",M203="Finalizado"),J203=""),"⚠ Falta Precio contratado","✓ OK")))</x:f>
      </x:c>
    </x:row>
    <x:row r="204">
      <x:c r="A204" s="61"/>
      <x:c r="B204" s="59"/>
      <x:c r="C204" s="24"/>
      <x:c r="D204" s="59"/>
      <x:c r="E204" s="59"/>
      <x:c r="F204" s="59"/>
      <x:c r="G204" s="59"/>
      <x:c r="H204" s="59"/>
      <x:c r="I204" s="63"/>
      <x:c r="J204" s="63"/>
      <x:c r="K204" s="24"/>
      <x:c r="L204" s="65"/>
      <x:c r="M204" s="24"/>
      <x:c r="N204" s="24"/>
      <x:c r="O204" s="59"/>
      <x:c r="P204" s="71"/>
      <x:c r="Q204" s="67" t="str">
        <x:f>IF(B204="","",SUMIFS(Pagos!$G$6:$G$305,Pagos!$B$6:$B$305,B204,Pagos!$J$6:$J$305,"Pagado"))</x:f>
      </x:c>
      <x:c r="R204" s="67" t="str">
        <x:f>IF(B204="","",MAX(0,IF(J204&lt;&gt;"",J204,IF(I204&lt;&gt;"",I204,0))-Q204))</x:f>
      </x:c>
      <x:c r="S204" s="69" t="str">
        <x:f>IF(B204="","",IFERROR(MINIFS(Pagos!$E$6:$E$305,Pagos!$B$6:$B$305,B204,Pagos!$J$6:$J$305,"Pendiente",Pagos!$E$6:$E$305,"&gt;="&amp;TODAY()),""))</x:f>
      </x:c>
      <x:c r="T204" s="61" t="str">
        <x:f>IF(B204="","",IF(COUNTIFS(Pagos!$B$6:$B$305,B204,Pagos!$J$6:$J$305,"Pendiente",Pagos!$E$6:$E$305,"&lt;"&amp;TODAY())&gt;0,"Vencido",IF(Q204=0,"Sin pagos",IF(R204=0,"Pagado","Pago parcial"))))</x:f>
      </x:c>
      <x:c r="U204" s="87" t="str">
        <x:f>IF(B204="","",IF(AND(M204="Cotizado",J204&lt;&gt;""),"⚠ Quitá Precio contratado o cambiá Estado",IF(AND(OR(M204="Reservado",M204="Contratado",M204="Finalizado"),J204=""),"⚠ Falta Precio contratado","✓ OK")))</x:f>
      </x:c>
    </x:row>
    <x:row r="205">
      <x:c r="A205" s="61"/>
      <x:c r="B205" s="59"/>
      <x:c r="C205" s="24"/>
      <x:c r="D205" s="59"/>
      <x:c r="E205" s="59"/>
      <x:c r="F205" s="59"/>
      <x:c r="G205" s="59"/>
      <x:c r="H205" s="59"/>
      <x:c r="I205" s="63"/>
      <x:c r="J205" s="63"/>
      <x:c r="K205" s="24"/>
      <x:c r="L205" s="65"/>
      <x:c r="M205" s="24"/>
      <x:c r="N205" s="24"/>
      <x:c r="O205" s="59"/>
      <x:c r="P205" s="71"/>
      <x:c r="Q205" s="67" t="str">
        <x:f>IF(B205="","",SUMIFS(Pagos!$G$6:$G$305,Pagos!$B$6:$B$305,B205,Pagos!$J$6:$J$305,"Pagado"))</x:f>
      </x:c>
      <x:c r="R205" s="67" t="str">
        <x:f>IF(B205="","",MAX(0,IF(J205&lt;&gt;"",J205,IF(I205&lt;&gt;"",I205,0))-Q205))</x:f>
      </x:c>
      <x:c r="S205" s="69" t="str">
        <x:f>IF(B205="","",IFERROR(MINIFS(Pagos!$E$6:$E$305,Pagos!$B$6:$B$305,B205,Pagos!$J$6:$J$305,"Pendiente",Pagos!$E$6:$E$305,"&gt;="&amp;TODAY()),""))</x:f>
      </x:c>
      <x:c r="T205" s="61" t="str">
        <x:f>IF(B205="","",IF(COUNTIFS(Pagos!$B$6:$B$305,B205,Pagos!$J$6:$J$305,"Pendiente",Pagos!$E$6:$E$305,"&lt;"&amp;TODAY())&gt;0,"Vencido",IF(Q205=0,"Sin pagos",IF(R205=0,"Pagado","Pago parcial"))))</x:f>
      </x:c>
      <x:c r="U205" s="87" t="str">
        <x:f>IF(B205="","",IF(AND(M205="Cotizado",J205&lt;&gt;""),"⚠ Quitá Precio contratado o cambiá Estado",IF(AND(OR(M205="Reservado",M205="Contratado",M205="Finalizado"),J205=""),"⚠ Falta Precio contratado","✓ OK")))</x:f>
      </x:c>
    </x:row>
  </x:sheetData>
  <x:mergeCells>
    <x:mergeCell ref="A1:T1"/>
    <x:mergeCell ref="A2:T2"/>
  </x:mergeCells>
  <x:conditionalFormatting sqref="M6:M205">
    <x:cfRule type="expression" dxfId="0" priority="1">
      <x:formula>M6="Contratado"</x:formula>
    </x:cfRule>
    <x:cfRule type="expression" dxfId="1" priority="2">
      <x:formula>M6="Cotizado"</x:formula>
    </x:cfRule>
  </x:conditionalFormatting>
  <x:conditionalFormatting sqref="T6:T205">
    <x:cfRule type="expression" dxfId="2" priority="3">
      <x:formula>T6="Vencido"</x:formula>
    </x:cfRule>
    <x:cfRule type="expression" dxfId="3" priority="4">
      <x:formula>T6="Pagado"</x:formula>
    </x:cfRule>
  </x:conditionalFormatting>
  <x:dataValidations count="4">
    <x:dataValidation type="list" sqref="C6:C205">
      <x:formula1>Listas!$A$2:$A$40</x:formula1>
    </x:dataValidation>
    <x:dataValidation type="list" sqref="K6:K205">
      <x:formula1>Listas!$B$2:$B$30</x:formula1>
    </x:dataValidation>
    <x:dataValidation type="list" sqref="M6:M205">
      <x:formula1>Listas!$C$2:$C$20</x:formula1>
    </x:dataValidation>
    <x:dataValidation type="list" sqref="N6:N205">
      <x:formula1>Listas!$D$2:$D$10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28" hidden="0" customWidth="1"/>
    <x:col min="5" max="5" width="15" hidden="0" customWidth="1"/>
    <x:col min="6" max="6" width="15" hidden="0" customWidth="1"/>
    <x:col min="7" max="7" width="16" hidden="0" customWidth="1"/>
    <x:col min="8" max="8" width="11" hidden="0" customWidth="1"/>
    <x:col min="9" max="9" width="18" hidden="0" customWidth="1"/>
    <x:col min="10" max="10" width="14" hidden="0" customWidth="1"/>
    <x:col min="11" max="11" width="30" hidden="0" customWidth="1"/>
    <x:col min="12" max="12" width="34" hidden="0" customWidth="1"/>
    <x:col min="13" max="13" width="19" hidden="0" customWidth="1"/>
    <x:col min="14" max="14" width="20" hidden="0" customWidth="1"/>
  </x:cols>
  <x:sheetData>
    <x:row r="1">
      <x:c r="A1" s="4" t="str">
        <x:v>PAGOS A PROVEEDORES</x:v>
      </x:c>
    </x:row>
    <x:row r="2">
      <x:c r="A2" s="42" t="str">
        <x:v>Elegí el proveedor del desplegable. Categoría y Moneda se completan automáticamente. Registrá una fila por seña, cuota o saldo.</x:v>
      </x:c>
    </x:row>
    <x:row r="4">
      <x:c r="A4" s="47" t="str">
        <x:v>NO EDITAR</x:v>
      </x:c>
      <x:c r="B4" s="47" t="str">
        <x:v>ELEGÍ ▼</x:v>
      </x:c>
      <x:c r="C4" s="47" t="str">
        <x:v>AUTO</x:v>
      </x:c>
      <x:c r="D4" s="47" t="str">
        <x:v>ESCRIBÍ</x:v>
      </x:c>
      <x:c r="E4" s="47" t="str">
        <x:v>FECHA</x:v>
      </x:c>
      <x:c r="F4" s="47" t="str">
        <x:v>FECHA</x:v>
      </x:c>
      <x:c r="G4" s="47" t="str">
        <x:v>ESCRIBÍ</x:v>
      </x:c>
      <x:c r="H4" s="47" t="str">
        <x:v>AUTO</x:v>
      </x:c>
      <x:c r="I4" s="47" t="str">
        <x:v>ELEGÍ ▼</x:v>
      </x:c>
      <x:c r="J4" s="47" t="str">
        <x:v>ELEGÍ ▼</x:v>
      </x:c>
      <x:c r="K4" s="47" t="str">
        <x:v>ESCRIBÍ</x:v>
      </x:c>
      <x:c r="L4" s="47" t="str">
        <x:v>ESCRIBÍ</x:v>
      </x:c>
      <x:c r="M4" s="99" t="str">
        <x:v>AUTO</x:v>
      </x:c>
      <x:c r="N4" s="99" t="str">
        <x:v>AUTO</x:v>
      </x:c>
    </x:row>
    <x:row r="5">
      <x:c r="A5" s="52" t="str">
        <x:v>ID pago</x:v>
      </x:c>
      <x:c r="B5" s="52" t="str">
        <x:v>Proveedor</x:v>
      </x:c>
      <x:c r="C5" s="52" t="str">
        <x:v>Categoría</x:v>
      </x:c>
      <x:c r="D5" s="52" t="str">
        <x:v>Concepto</x:v>
      </x:c>
      <x:c r="E5" s="52" t="str">
        <x:v>Fecha pactada</x:v>
      </x:c>
      <x:c r="F5" s="52" t="str">
        <x:v>Fecha pagada</x:v>
      </x:c>
      <x:c r="G5" s="52" t="str">
        <x:v>Importe</x:v>
      </x:c>
      <x:c r="H5" s="52" t="str">
        <x:v>Moneda</x:v>
      </x:c>
      <x:c r="I5" s="52" t="str">
        <x:v>Medio de pago</x:v>
      </x:c>
      <x:c r="J5" s="52" t="str">
        <x:v>Estado</x:v>
      </x:c>
      <x:c r="K5" s="52" t="str">
        <x:v>Comprobante / enlace</x:v>
      </x:c>
      <x:c r="L5" s="52" t="str">
        <x:v>Notas</x:v>
      </x:c>
      <x:c r="M5" s="103" t="str">
        <x:v>Tipo de cambio a moneda base</x:v>
      </x:c>
      <x:c r="N5" s="103" t="str">
        <x:v>Equivalente en moneda base</x:v>
      </x:c>
    </x:row>
    <x:row r="6">
      <x:c r="A6" s="61"/>
      <x:c r="B6" s="24"/>
      <x:c r="C6" s="61" t="str">
        <x:f>IF(B6="","",IFERROR(VLOOKUP(B6,Proveedores!$B$6:$C$205,2,FALSE),""))</x:f>
      </x:c>
      <x:c r="D6" s="59"/>
      <x:c r="E6" s="73"/>
      <x:c r="F6" s="73"/>
      <x:c r="G6" s="63"/>
      <x:c r="H6" s="61" t="str">
        <x:f>IF(B6="","",IFERROR(VLOOKUP(B6,Proveedores!$B$6:$K$205,10,FALSE),""))</x:f>
      </x:c>
      <x:c r="I6" s="24"/>
      <x:c r="J6" s="24"/>
      <x:c r="K6" s="59"/>
      <x:c r="L6" s="71"/>
      <x:c r="M6" s="115" t="str">
        <x:f>IF(B6="","",IFERROR(VLOOKUP(B6,Proveedores!$B$6:$L$205,11,FALSE),1))</x:f>
      </x:c>
      <x:c r="N6" s="115" t="str">
        <x:f>IF(G6="","",G6*IF(M6="",1,M6))</x:f>
      </x:c>
    </x:row>
    <x:row r="7">
      <x:c r="A7" s="61"/>
      <x:c r="B7" s="24"/>
      <x:c r="C7" s="61" t="str">
        <x:f>IF(B7="","",IFERROR(VLOOKUP(B7,Proveedores!$B$6:$C$205,2,FALSE),""))</x:f>
      </x:c>
      <x:c r="D7" s="59"/>
      <x:c r="E7" s="73"/>
      <x:c r="F7" s="73"/>
      <x:c r="G7" s="63"/>
      <x:c r="H7" s="61" t="str">
        <x:f>IF(B7="","",IFERROR(VLOOKUP(B7,Proveedores!$B$6:$K$205,10,FALSE),""))</x:f>
      </x:c>
      <x:c r="I7" s="24"/>
      <x:c r="J7" s="24"/>
      <x:c r="K7" s="59"/>
      <x:c r="L7" s="71"/>
      <x:c r="M7" s="115" t="str">
        <x:f>IF(B7="","",IFERROR(VLOOKUP(B7,Proveedores!$B$6:$L$205,11,FALSE),1))</x:f>
      </x:c>
      <x:c r="N7" s="115" t="str">
        <x:f>IF(G7="","",G7*IF(M7="",1,M7))</x:f>
      </x:c>
    </x:row>
    <x:row r="8">
      <x:c r="A8" s="61"/>
      <x:c r="B8" s="24"/>
      <x:c r="C8" s="61" t="str">
        <x:f>IF(B8="","",IFERROR(VLOOKUP(B8,Proveedores!$B$6:$C$205,2,FALSE),""))</x:f>
      </x:c>
      <x:c r="D8" s="59"/>
      <x:c r="E8" s="73"/>
      <x:c r="F8" s="73"/>
      <x:c r="G8" s="63"/>
      <x:c r="H8" s="61" t="str">
        <x:f>IF(B8="","",IFERROR(VLOOKUP(B8,Proveedores!$B$6:$K$205,10,FALSE),""))</x:f>
      </x:c>
      <x:c r="I8" s="24"/>
      <x:c r="J8" s="24"/>
      <x:c r="K8" s="59"/>
      <x:c r="L8" s="71"/>
      <x:c r="M8" s="115" t="str">
        <x:f>IF(B8="","",IFERROR(VLOOKUP(B8,Proveedores!$B$6:$L$205,11,FALSE),1))</x:f>
      </x:c>
      <x:c r="N8" s="115" t="str">
        <x:f>IF(G8="","",G8*IF(M8="",1,M8))</x:f>
      </x:c>
    </x:row>
    <x:row r="9">
      <x:c r="A9" s="61"/>
      <x:c r="B9" s="24"/>
      <x:c r="C9" s="61" t="str">
        <x:f>IF(B9="","",IFERROR(VLOOKUP(B9,Proveedores!$B$6:$C$205,2,FALSE),""))</x:f>
      </x:c>
      <x:c r="D9" s="59"/>
      <x:c r="E9" s="73"/>
      <x:c r="F9" s="73"/>
      <x:c r="G9" s="63"/>
      <x:c r="H9" s="61" t="str">
        <x:f>IF(B9="","",IFERROR(VLOOKUP(B9,Proveedores!$B$6:$K$205,10,FALSE),""))</x:f>
      </x:c>
      <x:c r="I9" s="24"/>
      <x:c r="J9" s="24"/>
      <x:c r="K9" s="59"/>
      <x:c r="L9" s="71"/>
      <x:c r="M9" s="115" t="str">
        <x:f>IF(B9="","",IFERROR(VLOOKUP(B9,Proveedores!$B$6:$L$205,11,FALSE),1))</x:f>
      </x:c>
      <x:c r="N9" s="115" t="str">
        <x:f>IF(G9="","",G9*IF(M9="",1,M9))</x:f>
      </x:c>
    </x:row>
    <x:row r="10">
      <x:c r="A10" s="61"/>
      <x:c r="B10" s="24"/>
      <x:c r="C10" s="61" t="str">
        <x:f>IF(B10="","",IFERROR(VLOOKUP(B10,Proveedores!$B$6:$C$205,2,FALSE),""))</x:f>
      </x:c>
      <x:c r="D10" s="59"/>
      <x:c r="E10" s="73"/>
      <x:c r="F10" s="73"/>
      <x:c r="G10" s="63"/>
      <x:c r="H10" s="61" t="str">
        <x:f>IF(B10="","",IFERROR(VLOOKUP(B10,Proveedores!$B$6:$K$205,10,FALSE),""))</x:f>
      </x:c>
      <x:c r="I10" s="24"/>
      <x:c r="J10" s="24"/>
      <x:c r="K10" s="59"/>
      <x:c r="L10" s="71"/>
      <x:c r="M10" s="115" t="str">
        <x:f>IF(B10="","",IFERROR(VLOOKUP(B10,Proveedores!$B$6:$L$205,11,FALSE),1))</x:f>
      </x:c>
      <x:c r="N10" s="115" t="str">
        <x:f>IF(G10="","",G10*IF(M10="",1,M10))</x:f>
      </x:c>
    </x:row>
    <x:row r="11">
      <x:c r="A11" s="61"/>
      <x:c r="B11" s="24"/>
      <x:c r="C11" s="61" t="str">
        <x:f>IF(B11="","",IFERROR(VLOOKUP(B11,Proveedores!$B$6:$C$205,2,FALSE),""))</x:f>
      </x:c>
      <x:c r="D11" s="59"/>
      <x:c r="E11" s="73"/>
      <x:c r="F11" s="73"/>
      <x:c r="G11" s="63"/>
      <x:c r="H11" s="61" t="str">
        <x:f>IF(B11="","",IFERROR(VLOOKUP(B11,Proveedores!$B$6:$K$205,10,FALSE),""))</x:f>
      </x:c>
      <x:c r="I11" s="24"/>
      <x:c r="J11" s="24"/>
      <x:c r="K11" s="59"/>
      <x:c r="L11" s="71"/>
      <x:c r="M11" s="115" t="str">
        <x:f>IF(B11="","",IFERROR(VLOOKUP(B11,Proveedores!$B$6:$L$205,11,FALSE),1))</x:f>
      </x:c>
      <x:c r="N11" s="115" t="str">
        <x:f>IF(G11="","",G11*IF(M11="",1,M11))</x:f>
      </x:c>
    </x:row>
    <x:row r="12">
      <x:c r="A12" s="61"/>
      <x:c r="B12" s="24"/>
      <x:c r="C12" s="61" t="str">
        <x:f>IF(B12="","",IFERROR(VLOOKUP(B12,Proveedores!$B$6:$C$205,2,FALSE),""))</x:f>
      </x:c>
      <x:c r="D12" s="59"/>
      <x:c r="E12" s="73"/>
      <x:c r="F12" s="73"/>
      <x:c r="G12" s="63"/>
      <x:c r="H12" s="61" t="str">
        <x:f>IF(B12="","",IFERROR(VLOOKUP(B12,Proveedores!$B$6:$K$205,10,FALSE),""))</x:f>
      </x:c>
      <x:c r="I12" s="24"/>
      <x:c r="J12" s="24"/>
      <x:c r="K12" s="59"/>
      <x:c r="L12" s="71"/>
      <x:c r="M12" s="115" t="str">
        <x:f>IF(B12="","",IFERROR(VLOOKUP(B12,Proveedores!$B$6:$L$205,11,FALSE),1))</x:f>
      </x:c>
      <x:c r="N12" s="115" t="str">
        <x:f>IF(G12="","",G12*IF(M12="",1,M12))</x:f>
      </x:c>
    </x:row>
    <x:row r="13">
      <x:c r="A13" s="61"/>
      <x:c r="B13" s="24"/>
      <x:c r="C13" s="61" t="str">
        <x:f>IF(B13="","",IFERROR(VLOOKUP(B13,Proveedores!$B$6:$C$205,2,FALSE),""))</x:f>
      </x:c>
      <x:c r="D13" s="59"/>
      <x:c r="E13" s="73"/>
      <x:c r="F13" s="73"/>
      <x:c r="G13" s="63"/>
      <x:c r="H13" s="61" t="str">
        <x:f>IF(B13="","",IFERROR(VLOOKUP(B13,Proveedores!$B$6:$K$205,10,FALSE),""))</x:f>
      </x:c>
      <x:c r="I13" s="24"/>
      <x:c r="J13" s="24"/>
      <x:c r="K13" s="59"/>
      <x:c r="L13" s="71"/>
      <x:c r="M13" s="115" t="str">
        <x:f>IF(B13="","",IFERROR(VLOOKUP(B13,Proveedores!$B$6:$L$205,11,FALSE),1))</x:f>
      </x:c>
      <x:c r="N13" s="115" t="str">
        <x:f>IF(G13="","",G13*IF(M13="",1,M13))</x:f>
      </x:c>
    </x:row>
    <x:row r="14">
      <x:c r="A14" s="61"/>
      <x:c r="B14" s="24"/>
      <x:c r="C14" s="61" t="str">
        <x:f>IF(B14="","",IFERROR(VLOOKUP(B14,Proveedores!$B$6:$C$205,2,FALSE),""))</x:f>
      </x:c>
      <x:c r="D14" s="59"/>
      <x:c r="E14" s="73"/>
      <x:c r="F14" s="73"/>
      <x:c r="G14" s="63"/>
      <x:c r="H14" s="61" t="str">
        <x:f>IF(B14="","",IFERROR(VLOOKUP(B14,Proveedores!$B$6:$K$205,10,FALSE),""))</x:f>
      </x:c>
      <x:c r="I14" s="24"/>
      <x:c r="J14" s="24"/>
      <x:c r="K14" s="59"/>
      <x:c r="L14" s="71"/>
      <x:c r="M14" s="115" t="str">
        <x:f>IF(B14="","",IFERROR(VLOOKUP(B14,Proveedores!$B$6:$L$205,11,FALSE),1))</x:f>
      </x:c>
      <x:c r="N14" s="115" t="str">
        <x:f>IF(G14="","",G14*IF(M14="",1,M14))</x:f>
      </x:c>
    </x:row>
    <x:row r="15">
      <x:c r="A15" s="61"/>
      <x:c r="B15" s="24"/>
      <x:c r="C15" s="61" t="str">
        <x:f>IF(B15="","",IFERROR(VLOOKUP(B15,Proveedores!$B$6:$C$205,2,FALSE),""))</x:f>
      </x:c>
      <x:c r="D15" s="59"/>
      <x:c r="E15" s="73"/>
      <x:c r="F15" s="73"/>
      <x:c r="G15" s="63"/>
      <x:c r="H15" s="61" t="str">
        <x:f>IF(B15="","",IFERROR(VLOOKUP(B15,Proveedores!$B$6:$K$205,10,FALSE),""))</x:f>
      </x:c>
      <x:c r="I15" s="24"/>
      <x:c r="J15" s="24"/>
      <x:c r="K15" s="59"/>
      <x:c r="L15" s="71"/>
      <x:c r="M15" s="115" t="str">
        <x:f>IF(B15="","",IFERROR(VLOOKUP(B15,Proveedores!$B$6:$L$205,11,FALSE),1))</x:f>
      </x:c>
      <x:c r="N15" s="115" t="str">
        <x:f>IF(G15="","",G15*IF(M15="",1,M15))</x:f>
      </x:c>
    </x:row>
    <x:row r="16">
      <x:c r="A16" s="61"/>
      <x:c r="B16" s="24"/>
      <x:c r="C16" s="61" t="str">
        <x:f>IF(B16="","",IFERROR(VLOOKUP(B16,Proveedores!$B$6:$C$205,2,FALSE),""))</x:f>
      </x:c>
      <x:c r="D16" s="59"/>
      <x:c r="E16" s="73"/>
      <x:c r="F16" s="73"/>
      <x:c r="G16" s="63"/>
      <x:c r="H16" s="61" t="str">
        <x:f>IF(B16="","",IFERROR(VLOOKUP(B16,Proveedores!$B$6:$K$205,10,FALSE),""))</x:f>
      </x:c>
      <x:c r="I16" s="24"/>
      <x:c r="J16" s="24"/>
      <x:c r="K16" s="59"/>
      <x:c r="L16" s="71"/>
      <x:c r="M16" s="115" t="str">
        <x:f>IF(B16="","",IFERROR(VLOOKUP(B16,Proveedores!$B$6:$L$205,11,FALSE),1))</x:f>
      </x:c>
      <x:c r="N16" s="115" t="str">
        <x:f>IF(G16="","",G16*IF(M16="",1,M16))</x:f>
      </x:c>
    </x:row>
    <x:row r="17">
      <x:c r="A17" s="61"/>
      <x:c r="B17" s="24"/>
      <x:c r="C17" s="61" t="str">
        <x:f>IF(B17="","",IFERROR(VLOOKUP(B17,Proveedores!$B$6:$C$205,2,FALSE),""))</x:f>
      </x:c>
      <x:c r="D17" s="59"/>
      <x:c r="E17" s="73"/>
      <x:c r="F17" s="73"/>
      <x:c r="G17" s="63"/>
      <x:c r="H17" s="61" t="str">
        <x:f>IF(B17="","",IFERROR(VLOOKUP(B17,Proveedores!$B$6:$K$205,10,FALSE),""))</x:f>
      </x:c>
      <x:c r="I17" s="24"/>
      <x:c r="J17" s="24"/>
      <x:c r="K17" s="59"/>
      <x:c r="L17" s="71"/>
      <x:c r="M17" s="115" t="str">
        <x:f>IF(B17="","",IFERROR(VLOOKUP(B17,Proveedores!$B$6:$L$205,11,FALSE),1))</x:f>
      </x:c>
      <x:c r="N17" s="115" t="str">
        <x:f>IF(G17="","",G17*IF(M17="",1,M17))</x:f>
      </x:c>
    </x:row>
    <x:row r="18">
      <x:c r="A18" s="61"/>
      <x:c r="B18" s="24"/>
      <x:c r="C18" s="61" t="str">
        <x:f>IF(B18="","",IFERROR(VLOOKUP(B18,Proveedores!$B$6:$C$205,2,FALSE),""))</x:f>
      </x:c>
      <x:c r="D18" s="59"/>
      <x:c r="E18" s="73"/>
      <x:c r="F18" s="73"/>
      <x:c r="G18" s="63"/>
      <x:c r="H18" s="61" t="str">
        <x:f>IF(B18="","",IFERROR(VLOOKUP(B18,Proveedores!$B$6:$K$205,10,FALSE),""))</x:f>
      </x:c>
      <x:c r="I18" s="24"/>
      <x:c r="J18" s="24"/>
      <x:c r="K18" s="59"/>
      <x:c r="L18" s="71"/>
      <x:c r="M18" s="115" t="str">
        <x:f>IF(B18="","",IFERROR(VLOOKUP(B18,Proveedores!$B$6:$L$205,11,FALSE),1))</x:f>
      </x:c>
      <x:c r="N18" s="115" t="str">
        <x:f>IF(G18="","",G18*IF(M18="",1,M18))</x:f>
      </x:c>
    </x:row>
    <x:row r="19">
      <x:c r="A19" s="61"/>
      <x:c r="B19" s="24"/>
      <x:c r="C19" s="61" t="str">
        <x:f>IF(B19="","",IFERROR(VLOOKUP(B19,Proveedores!$B$6:$C$205,2,FALSE),""))</x:f>
      </x:c>
      <x:c r="D19" s="59"/>
      <x:c r="E19" s="73"/>
      <x:c r="F19" s="73"/>
      <x:c r="G19" s="63"/>
      <x:c r="H19" s="61" t="str">
        <x:f>IF(B19="","",IFERROR(VLOOKUP(B19,Proveedores!$B$6:$K$205,10,FALSE),""))</x:f>
      </x:c>
      <x:c r="I19" s="24"/>
      <x:c r="J19" s="24"/>
      <x:c r="K19" s="59"/>
      <x:c r="L19" s="71"/>
      <x:c r="M19" s="115" t="str">
        <x:f>IF(B19="","",IFERROR(VLOOKUP(B19,Proveedores!$B$6:$L$205,11,FALSE),1))</x:f>
      </x:c>
      <x:c r="N19" s="115" t="str">
        <x:f>IF(G19="","",G19*IF(M19="",1,M19))</x:f>
      </x:c>
    </x:row>
    <x:row r="20">
      <x:c r="A20" s="61"/>
      <x:c r="B20" s="24"/>
      <x:c r="C20" s="61" t="str">
        <x:f>IF(B20="","",IFERROR(VLOOKUP(B20,Proveedores!$B$6:$C$205,2,FALSE),""))</x:f>
      </x:c>
      <x:c r="D20" s="59"/>
      <x:c r="E20" s="73"/>
      <x:c r="F20" s="73"/>
      <x:c r="G20" s="63"/>
      <x:c r="H20" s="61" t="str">
        <x:f>IF(B20="","",IFERROR(VLOOKUP(B20,Proveedores!$B$6:$K$205,10,FALSE),""))</x:f>
      </x:c>
      <x:c r="I20" s="24"/>
      <x:c r="J20" s="24"/>
      <x:c r="K20" s="59"/>
      <x:c r="L20" s="71"/>
      <x:c r="M20" s="115" t="str">
        <x:f>IF(B20="","",IFERROR(VLOOKUP(B20,Proveedores!$B$6:$L$205,11,FALSE),1))</x:f>
      </x:c>
      <x:c r="N20" s="115" t="str">
        <x:f>IF(G20="","",G20*IF(M20="",1,M20))</x:f>
      </x:c>
    </x:row>
    <x:row r="21">
      <x:c r="A21" s="61"/>
      <x:c r="B21" s="24"/>
      <x:c r="C21" s="61" t="str">
        <x:f>IF(B21="","",IFERROR(VLOOKUP(B21,Proveedores!$B$6:$C$205,2,FALSE),""))</x:f>
      </x:c>
      <x:c r="D21" s="59"/>
      <x:c r="E21" s="73"/>
      <x:c r="F21" s="73"/>
      <x:c r="G21" s="63"/>
      <x:c r="H21" s="61" t="str">
        <x:f>IF(B21="","",IFERROR(VLOOKUP(B21,Proveedores!$B$6:$K$205,10,FALSE),""))</x:f>
      </x:c>
      <x:c r="I21" s="24"/>
      <x:c r="J21" s="24"/>
      <x:c r="K21" s="59"/>
      <x:c r="L21" s="71"/>
      <x:c r="M21" s="115" t="str">
        <x:f>IF(B21="","",IFERROR(VLOOKUP(B21,Proveedores!$B$6:$L$205,11,FALSE),1))</x:f>
      </x:c>
      <x:c r="N21" s="115" t="str">
        <x:f>IF(G21="","",G21*IF(M21="",1,M21))</x:f>
      </x:c>
    </x:row>
    <x:row r="22">
      <x:c r="A22" s="61"/>
      <x:c r="B22" s="24"/>
      <x:c r="C22" s="61" t="str">
        <x:f>IF(B22="","",IFERROR(VLOOKUP(B22,Proveedores!$B$6:$C$205,2,FALSE),""))</x:f>
      </x:c>
      <x:c r="D22" s="59"/>
      <x:c r="E22" s="73"/>
      <x:c r="F22" s="73"/>
      <x:c r="G22" s="63"/>
      <x:c r="H22" s="61" t="str">
        <x:f>IF(B22="","",IFERROR(VLOOKUP(B22,Proveedores!$B$6:$K$205,10,FALSE),""))</x:f>
      </x:c>
      <x:c r="I22" s="24"/>
      <x:c r="J22" s="24"/>
      <x:c r="K22" s="59"/>
      <x:c r="L22" s="71"/>
      <x:c r="M22" s="115" t="str">
        <x:f>IF(B22="","",IFERROR(VLOOKUP(B22,Proveedores!$B$6:$L$205,11,FALSE),1))</x:f>
      </x:c>
      <x:c r="N22" s="115" t="str">
        <x:f>IF(G22="","",G22*IF(M22="",1,M22))</x:f>
      </x:c>
    </x:row>
    <x:row r="23">
      <x:c r="A23" s="61"/>
      <x:c r="B23" s="24"/>
      <x:c r="C23" s="61" t="str">
        <x:f>IF(B23="","",IFERROR(VLOOKUP(B23,Proveedores!$B$6:$C$205,2,FALSE),""))</x:f>
      </x:c>
      <x:c r="D23" s="59"/>
      <x:c r="E23" s="73"/>
      <x:c r="F23" s="73"/>
      <x:c r="G23" s="63"/>
      <x:c r="H23" s="61" t="str">
        <x:f>IF(B23="","",IFERROR(VLOOKUP(B23,Proveedores!$B$6:$K$205,10,FALSE),""))</x:f>
      </x:c>
      <x:c r="I23" s="24"/>
      <x:c r="J23" s="24"/>
      <x:c r="K23" s="59"/>
      <x:c r="L23" s="71"/>
      <x:c r="M23" s="115" t="str">
        <x:f>IF(B23="","",IFERROR(VLOOKUP(B23,Proveedores!$B$6:$L$205,11,FALSE),1))</x:f>
      </x:c>
      <x:c r="N23" s="115" t="str">
        <x:f>IF(G23="","",G23*IF(M23="",1,M23))</x:f>
      </x:c>
    </x:row>
    <x:row r="24">
      <x:c r="A24" s="61"/>
      <x:c r="B24" s="24"/>
      <x:c r="C24" s="61" t="str">
        <x:f>IF(B24="","",IFERROR(VLOOKUP(B24,Proveedores!$B$6:$C$205,2,FALSE),""))</x:f>
      </x:c>
      <x:c r="D24" s="59"/>
      <x:c r="E24" s="73"/>
      <x:c r="F24" s="73"/>
      <x:c r="G24" s="63"/>
      <x:c r="H24" s="61" t="str">
        <x:f>IF(B24="","",IFERROR(VLOOKUP(B24,Proveedores!$B$6:$K$205,10,FALSE),""))</x:f>
      </x:c>
      <x:c r="I24" s="24"/>
      <x:c r="J24" s="24"/>
      <x:c r="K24" s="59"/>
      <x:c r="L24" s="71"/>
      <x:c r="M24" s="115" t="str">
        <x:f>IF(B24="","",IFERROR(VLOOKUP(B24,Proveedores!$B$6:$L$205,11,FALSE),1))</x:f>
      </x:c>
      <x:c r="N24" s="115" t="str">
        <x:f>IF(G24="","",G24*IF(M24="",1,M24))</x:f>
      </x:c>
    </x:row>
    <x:row r="25">
      <x:c r="A25" s="61"/>
      <x:c r="B25" s="24"/>
      <x:c r="C25" s="61" t="str">
        <x:f>IF(B25="","",IFERROR(VLOOKUP(B25,Proveedores!$B$6:$C$205,2,FALSE),""))</x:f>
      </x:c>
      <x:c r="D25" s="59"/>
      <x:c r="E25" s="73"/>
      <x:c r="F25" s="73"/>
      <x:c r="G25" s="63"/>
      <x:c r="H25" s="61" t="str">
        <x:f>IF(B25="","",IFERROR(VLOOKUP(B25,Proveedores!$B$6:$K$205,10,FALSE),""))</x:f>
      </x:c>
      <x:c r="I25" s="24"/>
      <x:c r="J25" s="24"/>
      <x:c r="K25" s="59"/>
      <x:c r="L25" s="71"/>
      <x:c r="M25" s="115" t="str">
        <x:f>IF(B25="","",IFERROR(VLOOKUP(B25,Proveedores!$B$6:$L$205,11,FALSE),1))</x:f>
      </x:c>
      <x:c r="N25" s="115" t="str">
        <x:f>IF(G25="","",G25*IF(M25="",1,M25))</x:f>
      </x:c>
    </x:row>
    <x:row r="26">
      <x:c r="A26" s="61"/>
      <x:c r="B26" s="24"/>
      <x:c r="C26" s="61" t="str">
        <x:f>IF(B26="","",IFERROR(VLOOKUP(B26,Proveedores!$B$6:$C$205,2,FALSE),""))</x:f>
      </x:c>
      <x:c r="D26" s="59"/>
      <x:c r="E26" s="73"/>
      <x:c r="F26" s="73"/>
      <x:c r="G26" s="63"/>
      <x:c r="H26" s="61" t="str">
        <x:f>IF(B26="","",IFERROR(VLOOKUP(B26,Proveedores!$B$6:$K$205,10,FALSE),""))</x:f>
      </x:c>
      <x:c r="I26" s="24"/>
      <x:c r="J26" s="24"/>
      <x:c r="K26" s="59"/>
      <x:c r="L26" s="71"/>
      <x:c r="M26" s="115" t="str">
        <x:f>IF(B26="","",IFERROR(VLOOKUP(B26,Proveedores!$B$6:$L$205,11,FALSE),1))</x:f>
      </x:c>
      <x:c r="N26" s="115" t="str">
        <x:f>IF(G26="","",G26*IF(M26="",1,M26))</x:f>
      </x:c>
    </x:row>
    <x:row r="27">
      <x:c r="A27" s="61"/>
      <x:c r="B27" s="24"/>
      <x:c r="C27" s="61" t="str">
        <x:f>IF(B27="","",IFERROR(VLOOKUP(B27,Proveedores!$B$6:$C$205,2,FALSE),""))</x:f>
      </x:c>
      <x:c r="D27" s="59"/>
      <x:c r="E27" s="73"/>
      <x:c r="F27" s="73"/>
      <x:c r="G27" s="63"/>
      <x:c r="H27" s="61" t="str">
        <x:f>IF(B27="","",IFERROR(VLOOKUP(B27,Proveedores!$B$6:$K$205,10,FALSE),""))</x:f>
      </x:c>
      <x:c r="I27" s="24"/>
      <x:c r="J27" s="24"/>
      <x:c r="K27" s="59"/>
      <x:c r="L27" s="71"/>
      <x:c r="M27" s="115" t="str">
        <x:f>IF(B27="","",IFERROR(VLOOKUP(B27,Proveedores!$B$6:$L$205,11,FALSE),1))</x:f>
      </x:c>
      <x:c r="N27" s="115" t="str">
        <x:f>IF(G27="","",G27*IF(M27="",1,M27))</x:f>
      </x:c>
    </x:row>
    <x:row r="28">
      <x:c r="A28" s="61"/>
      <x:c r="B28" s="24"/>
      <x:c r="C28" s="61" t="str">
        <x:f>IF(B28="","",IFERROR(VLOOKUP(B28,Proveedores!$B$6:$C$205,2,FALSE),""))</x:f>
      </x:c>
      <x:c r="D28" s="59"/>
      <x:c r="E28" s="73"/>
      <x:c r="F28" s="73"/>
      <x:c r="G28" s="63"/>
      <x:c r="H28" s="61" t="str">
        <x:f>IF(B28="","",IFERROR(VLOOKUP(B28,Proveedores!$B$6:$K$205,10,FALSE),""))</x:f>
      </x:c>
      <x:c r="I28" s="24"/>
      <x:c r="J28" s="24"/>
      <x:c r="K28" s="59"/>
      <x:c r="L28" s="71"/>
      <x:c r="M28" s="115" t="str">
        <x:f>IF(B28="","",IFERROR(VLOOKUP(B28,Proveedores!$B$6:$L$205,11,FALSE),1))</x:f>
      </x:c>
      <x:c r="N28" s="115" t="str">
        <x:f>IF(G28="","",G28*IF(M28="",1,M28))</x:f>
      </x:c>
    </x:row>
    <x:row r="29">
      <x:c r="A29" s="61"/>
      <x:c r="B29" s="24"/>
      <x:c r="C29" s="61" t="str">
        <x:f>IF(B29="","",IFERROR(VLOOKUP(B29,Proveedores!$B$6:$C$205,2,FALSE),""))</x:f>
      </x:c>
      <x:c r="D29" s="59"/>
      <x:c r="E29" s="73"/>
      <x:c r="F29" s="73"/>
      <x:c r="G29" s="63"/>
      <x:c r="H29" s="61" t="str">
        <x:f>IF(B29="","",IFERROR(VLOOKUP(B29,Proveedores!$B$6:$K$205,10,FALSE),""))</x:f>
      </x:c>
      <x:c r="I29" s="24"/>
      <x:c r="J29" s="24"/>
      <x:c r="K29" s="59"/>
      <x:c r="L29" s="71"/>
      <x:c r="M29" s="115" t="str">
        <x:f>IF(B29="","",IFERROR(VLOOKUP(B29,Proveedores!$B$6:$L$205,11,FALSE),1))</x:f>
      </x:c>
      <x:c r="N29" s="115" t="str">
        <x:f>IF(G29="","",G29*IF(M29="",1,M29))</x:f>
      </x:c>
    </x:row>
    <x:row r="30">
      <x:c r="A30" s="61"/>
      <x:c r="B30" s="24"/>
      <x:c r="C30" s="61" t="str">
        <x:f>IF(B30="","",IFERROR(VLOOKUP(B30,Proveedores!$B$6:$C$205,2,FALSE),""))</x:f>
      </x:c>
      <x:c r="D30" s="59"/>
      <x:c r="E30" s="73"/>
      <x:c r="F30" s="73"/>
      <x:c r="G30" s="63"/>
      <x:c r="H30" s="61" t="str">
        <x:f>IF(B30="","",IFERROR(VLOOKUP(B30,Proveedores!$B$6:$K$205,10,FALSE),""))</x:f>
      </x:c>
      <x:c r="I30" s="24"/>
      <x:c r="J30" s="24"/>
      <x:c r="K30" s="59"/>
      <x:c r="L30" s="71"/>
      <x:c r="M30" s="115" t="str">
        <x:f>IF(B30="","",IFERROR(VLOOKUP(B30,Proveedores!$B$6:$L$205,11,FALSE),1))</x:f>
      </x:c>
      <x:c r="N30" s="115" t="str">
        <x:f>IF(G30="","",G30*IF(M30="",1,M30))</x:f>
      </x:c>
    </x:row>
    <x:row r="31">
      <x:c r="A31" s="61"/>
      <x:c r="B31" s="24"/>
      <x:c r="C31" s="61" t="str">
        <x:f>IF(B31="","",IFERROR(VLOOKUP(B31,Proveedores!$B$6:$C$205,2,FALSE),""))</x:f>
      </x:c>
      <x:c r="D31" s="59"/>
      <x:c r="E31" s="73"/>
      <x:c r="F31" s="73"/>
      <x:c r="G31" s="63"/>
      <x:c r="H31" s="61" t="str">
        <x:f>IF(B31="","",IFERROR(VLOOKUP(B31,Proveedores!$B$6:$K$205,10,FALSE),""))</x:f>
      </x:c>
      <x:c r="I31" s="24"/>
      <x:c r="J31" s="24"/>
      <x:c r="K31" s="59"/>
      <x:c r="L31" s="71"/>
      <x:c r="M31" s="115" t="str">
        <x:f>IF(B31="","",IFERROR(VLOOKUP(B31,Proveedores!$B$6:$L$205,11,FALSE),1))</x:f>
      </x:c>
      <x:c r="N31" s="115" t="str">
        <x:f>IF(G31="","",G31*IF(M31="",1,M31))</x:f>
      </x:c>
    </x:row>
    <x:row r="32">
      <x:c r="A32" s="61"/>
      <x:c r="B32" s="24"/>
      <x:c r="C32" s="61" t="str">
        <x:f>IF(B32="","",IFERROR(VLOOKUP(B32,Proveedores!$B$6:$C$205,2,FALSE),""))</x:f>
      </x:c>
      <x:c r="D32" s="59"/>
      <x:c r="E32" s="73"/>
      <x:c r="F32" s="73"/>
      <x:c r="G32" s="63"/>
      <x:c r="H32" s="61" t="str">
        <x:f>IF(B32="","",IFERROR(VLOOKUP(B32,Proveedores!$B$6:$K$205,10,FALSE),""))</x:f>
      </x:c>
      <x:c r="I32" s="24"/>
      <x:c r="J32" s="24"/>
      <x:c r="K32" s="59"/>
      <x:c r="L32" s="71"/>
      <x:c r="M32" s="115" t="str">
        <x:f>IF(B32="","",IFERROR(VLOOKUP(B32,Proveedores!$B$6:$L$205,11,FALSE),1))</x:f>
      </x:c>
      <x:c r="N32" s="115" t="str">
        <x:f>IF(G32="","",G32*IF(M32="",1,M32))</x:f>
      </x:c>
    </x:row>
    <x:row r="33">
      <x:c r="A33" s="61"/>
      <x:c r="B33" s="24"/>
      <x:c r="C33" s="61" t="str">
        <x:f>IF(B33="","",IFERROR(VLOOKUP(B33,Proveedores!$B$6:$C$205,2,FALSE),""))</x:f>
      </x:c>
      <x:c r="D33" s="59"/>
      <x:c r="E33" s="73"/>
      <x:c r="F33" s="73"/>
      <x:c r="G33" s="63"/>
      <x:c r="H33" s="61" t="str">
        <x:f>IF(B33="","",IFERROR(VLOOKUP(B33,Proveedores!$B$6:$K$205,10,FALSE),""))</x:f>
      </x:c>
      <x:c r="I33" s="24"/>
      <x:c r="J33" s="24"/>
      <x:c r="K33" s="59"/>
      <x:c r="L33" s="71"/>
      <x:c r="M33" s="115" t="str">
        <x:f>IF(B33="","",IFERROR(VLOOKUP(B33,Proveedores!$B$6:$L$205,11,FALSE),1))</x:f>
      </x:c>
      <x:c r="N33" s="115" t="str">
        <x:f>IF(G33="","",G33*IF(M33="",1,M33))</x:f>
      </x:c>
    </x:row>
    <x:row r="34">
      <x:c r="A34" s="61"/>
      <x:c r="B34" s="24"/>
      <x:c r="C34" s="61" t="str">
        <x:f>IF(B34="","",IFERROR(VLOOKUP(B34,Proveedores!$B$6:$C$205,2,FALSE),""))</x:f>
      </x:c>
      <x:c r="D34" s="59"/>
      <x:c r="E34" s="73"/>
      <x:c r="F34" s="73"/>
      <x:c r="G34" s="63"/>
      <x:c r="H34" s="61" t="str">
        <x:f>IF(B34="","",IFERROR(VLOOKUP(B34,Proveedores!$B$6:$K$205,10,FALSE),""))</x:f>
      </x:c>
      <x:c r="I34" s="24"/>
      <x:c r="J34" s="24"/>
      <x:c r="K34" s="59"/>
      <x:c r="L34" s="71"/>
      <x:c r="M34" s="115" t="str">
        <x:f>IF(B34="","",IFERROR(VLOOKUP(B34,Proveedores!$B$6:$L$205,11,FALSE),1))</x:f>
      </x:c>
      <x:c r="N34" s="115" t="str">
        <x:f>IF(G34="","",G34*IF(M34="",1,M34))</x:f>
      </x:c>
    </x:row>
    <x:row r="35">
      <x:c r="A35" s="61"/>
      <x:c r="B35" s="24"/>
      <x:c r="C35" s="61" t="str">
        <x:f>IF(B35="","",IFERROR(VLOOKUP(B35,Proveedores!$B$6:$C$205,2,FALSE),""))</x:f>
      </x:c>
      <x:c r="D35" s="59"/>
      <x:c r="E35" s="73"/>
      <x:c r="F35" s="73"/>
      <x:c r="G35" s="63"/>
      <x:c r="H35" s="61" t="str">
        <x:f>IF(B35="","",IFERROR(VLOOKUP(B35,Proveedores!$B$6:$K$205,10,FALSE),""))</x:f>
      </x:c>
      <x:c r="I35" s="24"/>
      <x:c r="J35" s="24"/>
      <x:c r="K35" s="59"/>
      <x:c r="L35" s="71"/>
      <x:c r="M35" s="115" t="str">
        <x:f>IF(B35="","",IFERROR(VLOOKUP(B35,Proveedores!$B$6:$L$205,11,FALSE),1))</x:f>
      </x:c>
      <x:c r="N35" s="115" t="str">
        <x:f>IF(G35="","",G35*IF(M35="",1,M35))</x:f>
      </x:c>
    </x:row>
    <x:row r="36">
      <x:c r="A36" s="61"/>
      <x:c r="B36" s="24"/>
      <x:c r="C36" s="61" t="str">
        <x:f>IF(B36="","",IFERROR(VLOOKUP(B36,Proveedores!$B$6:$C$205,2,FALSE),""))</x:f>
      </x:c>
      <x:c r="D36" s="59"/>
      <x:c r="E36" s="73"/>
      <x:c r="F36" s="73"/>
      <x:c r="G36" s="63"/>
      <x:c r="H36" s="61" t="str">
        <x:f>IF(B36="","",IFERROR(VLOOKUP(B36,Proveedores!$B$6:$K$205,10,FALSE),""))</x:f>
      </x:c>
      <x:c r="I36" s="24"/>
      <x:c r="J36" s="24"/>
      <x:c r="K36" s="59"/>
      <x:c r="L36" s="71"/>
      <x:c r="M36" s="115" t="str">
        <x:f>IF(B36="","",IFERROR(VLOOKUP(B36,Proveedores!$B$6:$L$205,11,FALSE),1))</x:f>
      </x:c>
      <x:c r="N36" s="115" t="str">
        <x:f>IF(G36="","",G36*IF(M36="",1,M36))</x:f>
      </x:c>
    </x:row>
    <x:row r="37">
      <x:c r="A37" s="61"/>
      <x:c r="B37" s="24"/>
      <x:c r="C37" s="61" t="str">
        <x:f>IF(B37="","",IFERROR(VLOOKUP(B37,Proveedores!$B$6:$C$205,2,FALSE),""))</x:f>
      </x:c>
      <x:c r="D37" s="59"/>
      <x:c r="E37" s="73"/>
      <x:c r="F37" s="73"/>
      <x:c r="G37" s="63"/>
      <x:c r="H37" s="61" t="str">
        <x:f>IF(B37="","",IFERROR(VLOOKUP(B37,Proveedores!$B$6:$K$205,10,FALSE),""))</x:f>
      </x:c>
      <x:c r="I37" s="24"/>
      <x:c r="J37" s="24"/>
      <x:c r="K37" s="59"/>
      <x:c r="L37" s="71"/>
      <x:c r="M37" s="115" t="str">
        <x:f>IF(B37="","",IFERROR(VLOOKUP(B37,Proveedores!$B$6:$L$205,11,FALSE),1))</x:f>
      </x:c>
      <x:c r="N37" s="115" t="str">
        <x:f>IF(G37="","",G37*IF(M37="",1,M37))</x:f>
      </x:c>
    </x:row>
    <x:row r="38">
      <x:c r="A38" s="61"/>
      <x:c r="B38" s="24"/>
      <x:c r="C38" s="61" t="str">
        <x:f>IF(B38="","",IFERROR(VLOOKUP(B38,Proveedores!$B$6:$C$205,2,FALSE),""))</x:f>
      </x:c>
      <x:c r="D38" s="59"/>
      <x:c r="E38" s="73"/>
      <x:c r="F38" s="73"/>
      <x:c r="G38" s="63"/>
      <x:c r="H38" s="61" t="str">
        <x:f>IF(B38="","",IFERROR(VLOOKUP(B38,Proveedores!$B$6:$K$205,10,FALSE),""))</x:f>
      </x:c>
      <x:c r="I38" s="24"/>
      <x:c r="J38" s="24"/>
      <x:c r="K38" s="59"/>
      <x:c r="L38" s="71"/>
      <x:c r="M38" s="115" t="str">
        <x:f>IF(B38="","",IFERROR(VLOOKUP(B38,Proveedores!$B$6:$L$205,11,FALSE),1))</x:f>
      </x:c>
      <x:c r="N38" s="115" t="str">
        <x:f>IF(G38="","",G38*IF(M38="",1,M38))</x:f>
      </x:c>
    </x:row>
    <x:row r="39">
      <x:c r="A39" s="61"/>
      <x:c r="B39" s="24"/>
      <x:c r="C39" s="61" t="str">
        <x:f>IF(B39="","",IFERROR(VLOOKUP(B39,Proveedores!$B$6:$C$205,2,FALSE),""))</x:f>
      </x:c>
      <x:c r="D39" s="59"/>
      <x:c r="E39" s="73"/>
      <x:c r="F39" s="73"/>
      <x:c r="G39" s="63"/>
      <x:c r="H39" s="61" t="str">
        <x:f>IF(B39="","",IFERROR(VLOOKUP(B39,Proveedores!$B$6:$K$205,10,FALSE),""))</x:f>
      </x:c>
      <x:c r="I39" s="24"/>
      <x:c r="J39" s="24"/>
      <x:c r="K39" s="59"/>
      <x:c r="L39" s="71"/>
      <x:c r="M39" s="115" t="str">
        <x:f>IF(B39="","",IFERROR(VLOOKUP(B39,Proveedores!$B$6:$L$205,11,FALSE),1))</x:f>
      </x:c>
      <x:c r="N39" s="115" t="str">
        <x:f>IF(G39="","",G39*IF(M39="",1,M39))</x:f>
      </x:c>
    </x:row>
    <x:row r="40">
      <x:c r="A40" s="61"/>
      <x:c r="B40" s="24"/>
      <x:c r="C40" s="61" t="str">
        <x:f>IF(B40="","",IFERROR(VLOOKUP(B40,Proveedores!$B$6:$C$205,2,FALSE),""))</x:f>
      </x:c>
      <x:c r="D40" s="59"/>
      <x:c r="E40" s="73"/>
      <x:c r="F40" s="73"/>
      <x:c r="G40" s="63"/>
      <x:c r="H40" s="61" t="str">
        <x:f>IF(B40="","",IFERROR(VLOOKUP(B40,Proveedores!$B$6:$K$205,10,FALSE),""))</x:f>
      </x:c>
      <x:c r="I40" s="24"/>
      <x:c r="J40" s="24"/>
      <x:c r="K40" s="59"/>
      <x:c r="L40" s="71"/>
      <x:c r="M40" s="115" t="str">
        <x:f>IF(B40="","",IFERROR(VLOOKUP(B40,Proveedores!$B$6:$L$205,11,FALSE),1))</x:f>
      </x:c>
      <x:c r="N40" s="115" t="str">
        <x:f>IF(G40="","",G40*IF(M40="",1,M40))</x:f>
      </x:c>
    </x:row>
    <x:row r="41">
      <x:c r="A41" s="61"/>
      <x:c r="B41" s="24"/>
      <x:c r="C41" s="61" t="str">
        <x:f>IF(B41="","",IFERROR(VLOOKUP(B41,Proveedores!$B$6:$C$205,2,FALSE),""))</x:f>
      </x:c>
      <x:c r="D41" s="59"/>
      <x:c r="E41" s="73"/>
      <x:c r="F41" s="73"/>
      <x:c r="G41" s="63"/>
      <x:c r="H41" s="61" t="str">
        <x:f>IF(B41="","",IFERROR(VLOOKUP(B41,Proveedores!$B$6:$K$205,10,FALSE),""))</x:f>
      </x:c>
      <x:c r="I41" s="24"/>
      <x:c r="J41" s="24"/>
      <x:c r="K41" s="59"/>
      <x:c r="L41" s="71"/>
      <x:c r="M41" s="115" t="str">
        <x:f>IF(B41="","",IFERROR(VLOOKUP(B41,Proveedores!$B$6:$L$205,11,FALSE),1))</x:f>
      </x:c>
      <x:c r="N41" s="115" t="str">
        <x:f>IF(G41="","",G41*IF(M41="",1,M41))</x:f>
      </x:c>
    </x:row>
    <x:row r="42">
      <x:c r="A42" s="61"/>
      <x:c r="B42" s="24"/>
      <x:c r="C42" s="61" t="str">
        <x:f>IF(B42="","",IFERROR(VLOOKUP(B42,Proveedores!$B$6:$C$205,2,FALSE),""))</x:f>
      </x:c>
      <x:c r="D42" s="59"/>
      <x:c r="E42" s="73"/>
      <x:c r="F42" s="73"/>
      <x:c r="G42" s="63"/>
      <x:c r="H42" s="61" t="str">
        <x:f>IF(B42="","",IFERROR(VLOOKUP(B42,Proveedores!$B$6:$K$205,10,FALSE),""))</x:f>
      </x:c>
      <x:c r="I42" s="24"/>
      <x:c r="J42" s="24"/>
      <x:c r="K42" s="59"/>
      <x:c r="L42" s="71"/>
      <x:c r="M42" s="115" t="str">
        <x:f>IF(B42="","",IFERROR(VLOOKUP(B42,Proveedores!$B$6:$L$205,11,FALSE),1))</x:f>
      </x:c>
      <x:c r="N42" s="115" t="str">
        <x:f>IF(G42="","",G42*IF(M42="",1,M42))</x:f>
      </x:c>
    </x:row>
    <x:row r="43">
      <x:c r="A43" s="61"/>
      <x:c r="B43" s="24"/>
      <x:c r="C43" s="61" t="str">
        <x:f>IF(B43="","",IFERROR(VLOOKUP(B43,Proveedores!$B$6:$C$205,2,FALSE),""))</x:f>
      </x:c>
      <x:c r="D43" s="59"/>
      <x:c r="E43" s="73"/>
      <x:c r="F43" s="73"/>
      <x:c r="G43" s="63"/>
      <x:c r="H43" s="61" t="str">
        <x:f>IF(B43="","",IFERROR(VLOOKUP(B43,Proveedores!$B$6:$K$205,10,FALSE),""))</x:f>
      </x:c>
      <x:c r="I43" s="24"/>
      <x:c r="J43" s="24"/>
      <x:c r="K43" s="59"/>
      <x:c r="L43" s="71"/>
      <x:c r="M43" s="115" t="str">
        <x:f>IF(B43="","",IFERROR(VLOOKUP(B43,Proveedores!$B$6:$L$205,11,FALSE),1))</x:f>
      </x:c>
      <x:c r="N43" s="115" t="str">
        <x:f>IF(G43="","",G43*IF(M43="",1,M43))</x:f>
      </x:c>
    </x:row>
    <x:row r="44">
      <x:c r="A44" s="61"/>
      <x:c r="B44" s="24"/>
      <x:c r="C44" s="61" t="str">
        <x:f>IF(B44="","",IFERROR(VLOOKUP(B44,Proveedores!$B$6:$C$205,2,FALSE),""))</x:f>
      </x:c>
      <x:c r="D44" s="59"/>
      <x:c r="E44" s="73"/>
      <x:c r="F44" s="73"/>
      <x:c r="G44" s="63"/>
      <x:c r="H44" s="61" t="str">
        <x:f>IF(B44="","",IFERROR(VLOOKUP(B44,Proveedores!$B$6:$K$205,10,FALSE),""))</x:f>
      </x:c>
      <x:c r="I44" s="24"/>
      <x:c r="J44" s="24"/>
      <x:c r="K44" s="59"/>
      <x:c r="L44" s="71"/>
      <x:c r="M44" s="115" t="str">
        <x:f>IF(B44="","",IFERROR(VLOOKUP(B44,Proveedores!$B$6:$L$205,11,FALSE),1))</x:f>
      </x:c>
      <x:c r="N44" s="115" t="str">
        <x:f>IF(G44="","",G44*IF(M44="",1,M44))</x:f>
      </x:c>
    </x:row>
    <x:row r="45">
      <x:c r="A45" s="61"/>
      <x:c r="B45" s="24"/>
      <x:c r="C45" s="61" t="str">
        <x:f>IF(B45="","",IFERROR(VLOOKUP(B45,Proveedores!$B$6:$C$205,2,FALSE),""))</x:f>
      </x:c>
      <x:c r="D45" s="59"/>
      <x:c r="E45" s="73"/>
      <x:c r="F45" s="73"/>
      <x:c r="G45" s="63"/>
      <x:c r="H45" s="61" t="str">
        <x:f>IF(B45="","",IFERROR(VLOOKUP(B45,Proveedores!$B$6:$K$205,10,FALSE),""))</x:f>
      </x:c>
      <x:c r="I45" s="24"/>
      <x:c r="J45" s="24"/>
      <x:c r="K45" s="59"/>
      <x:c r="L45" s="71"/>
      <x:c r="M45" s="115" t="str">
        <x:f>IF(B45="","",IFERROR(VLOOKUP(B45,Proveedores!$B$6:$L$205,11,FALSE),1))</x:f>
      </x:c>
      <x:c r="N45" s="115" t="str">
        <x:f>IF(G45="","",G45*IF(M45="",1,M45))</x:f>
      </x:c>
    </x:row>
    <x:row r="46">
      <x:c r="A46" s="61"/>
      <x:c r="B46" s="24"/>
      <x:c r="C46" s="61" t="str">
        <x:f>IF(B46="","",IFERROR(VLOOKUP(B46,Proveedores!$B$6:$C$205,2,FALSE),""))</x:f>
      </x:c>
      <x:c r="D46" s="59"/>
      <x:c r="E46" s="73"/>
      <x:c r="F46" s="73"/>
      <x:c r="G46" s="63"/>
      <x:c r="H46" s="61" t="str">
        <x:f>IF(B46="","",IFERROR(VLOOKUP(B46,Proveedores!$B$6:$K$205,10,FALSE),""))</x:f>
      </x:c>
      <x:c r="I46" s="24"/>
      <x:c r="J46" s="24"/>
      <x:c r="K46" s="59"/>
      <x:c r="L46" s="71"/>
      <x:c r="M46" s="115" t="str">
        <x:f>IF(B46="","",IFERROR(VLOOKUP(B46,Proveedores!$B$6:$L$205,11,FALSE),1))</x:f>
      </x:c>
      <x:c r="N46" s="115" t="str">
        <x:f>IF(G46="","",G46*IF(M46="",1,M46))</x:f>
      </x:c>
    </x:row>
    <x:row r="47">
      <x:c r="A47" s="61"/>
      <x:c r="B47" s="24"/>
      <x:c r="C47" s="61" t="str">
        <x:f>IF(B47="","",IFERROR(VLOOKUP(B47,Proveedores!$B$6:$C$205,2,FALSE),""))</x:f>
      </x:c>
      <x:c r="D47" s="59"/>
      <x:c r="E47" s="73"/>
      <x:c r="F47" s="73"/>
      <x:c r="G47" s="63"/>
      <x:c r="H47" s="61" t="str">
        <x:f>IF(B47="","",IFERROR(VLOOKUP(B47,Proveedores!$B$6:$K$205,10,FALSE),""))</x:f>
      </x:c>
      <x:c r="I47" s="24"/>
      <x:c r="J47" s="24"/>
      <x:c r="K47" s="59"/>
      <x:c r="L47" s="71"/>
      <x:c r="M47" s="115" t="str">
        <x:f>IF(B47="","",IFERROR(VLOOKUP(B47,Proveedores!$B$6:$L$205,11,FALSE),1))</x:f>
      </x:c>
      <x:c r="N47" s="115" t="str">
        <x:f>IF(G47="","",G47*IF(M47="",1,M47))</x:f>
      </x:c>
    </x:row>
    <x:row r="48">
      <x:c r="A48" s="61"/>
      <x:c r="B48" s="24"/>
      <x:c r="C48" s="61" t="str">
        <x:f>IF(B48="","",IFERROR(VLOOKUP(B48,Proveedores!$B$6:$C$205,2,FALSE),""))</x:f>
      </x:c>
      <x:c r="D48" s="59"/>
      <x:c r="E48" s="73"/>
      <x:c r="F48" s="73"/>
      <x:c r="G48" s="63"/>
      <x:c r="H48" s="61" t="str">
        <x:f>IF(B48="","",IFERROR(VLOOKUP(B48,Proveedores!$B$6:$K$205,10,FALSE),""))</x:f>
      </x:c>
      <x:c r="I48" s="24"/>
      <x:c r="J48" s="24"/>
      <x:c r="K48" s="59"/>
      <x:c r="L48" s="71"/>
      <x:c r="M48" s="115" t="str">
        <x:f>IF(B48="","",IFERROR(VLOOKUP(B48,Proveedores!$B$6:$L$205,11,FALSE),1))</x:f>
      </x:c>
      <x:c r="N48" s="115" t="str">
        <x:f>IF(G48="","",G48*IF(M48="",1,M48))</x:f>
      </x:c>
    </x:row>
    <x:row r="49">
      <x:c r="A49" s="61"/>
      <x:c r="B49" s="24"/>
      <x:c r="C49" s="61" t="str">
        <x:f>IF(B49="","",IFERROR(VLOOKUP(B49,Proveedores!$B$6:$C$205,2,FALSE),""))</x:f>
      </x:c>
      <x:c r="D49" s="59"/>
      <x:c r="E49" s="73"/>
      <x:c r="F49" s="73"/>
      <x:c r="G49" s="63"/>
      <x:c r="H49" s="61" t="str">
        <x:f>IF(B49="","",IFERROR(VLOOKUP(B49,Proveedores!$B$6:$K$205,10,FALSE),""))</x:f>
      </x:c>
      <x:c r="I49" s="24"/>
      <x:c r="J49" s="24"/>
      <x:c r="K49" s="59"/>
      <x:c r="L49" s="71"/>
      <x:c r="M49" s="115" t="str">
        <x:f>IF(B49="","",IFERROR(VLOOKUP(B49,Proveedores!$B$6:$L$205,11,FALSE),1))</x:f>
      </x:c>
      <x:c r="N49" s="115" t="str">
        <x:f>IF(G49="","",G49*IF(M49="",1,M49))</x:f>
      </x:c>
    </x:row>
    <x:row r="50">
      <x:c r="A50" s="61"/>
      <x:c r="B50" s="24"/>
      <x:c r="C50" s="61" t="str">
        <x:f>IF(B50="","",IFERROR(VLOOKUP(B50,Proveedores!$B$6:$C$205,2,FALSE),""))</x:f>
      </x:c>
      <x:c r="D50" s="59"/>
      <x:c r="E50" s="73"/>
      <x:c r="F50" s="73"/>
      <x:c r="G50" s="63"/>
      <x:c r="H50" s="61" t="str">
        <x:f>IF(B50="","",IFERROR(VLOOKUP(B50,Proveedores!$B$6:$K$205,10,FALSE),""))</x:f>
      </x:c>
      <x:c r="I50" s="24"/>
      <x:c r="J50" s="24"/>
      <x:c r="K50" s="59"/>
      <x:c r="L50" s="71"/>
      <x:c r="M50" s="115" t="str">
        <x:f>IF(B50="","",IFERROR(VLOOKUP(B50,Proveedores!$B$6:$L$205,11,FALSE),1))</x:f>
      </x:c>
      <x:c r="N50" s="115" t="str">
        <x:f>IF(G50="","",G50*IF(M50="",1,M50))</x:f>
      </x:c>
    </x:row>
    <x:row r="51">
      <x:c r="A51" s="61"/>
      <x:c r="B51" s="24"/>
      <x:c r="C51" s="61" t="str">
        <x:f>IF(B51="","",IFERROR(VLOOKUP(B51,Proveedores!$B$6:$C$205,2,FALSE),""))</x:f>
      </x:c>
      <x:c r="D51" s="59"/>
      <x:c r="E51" s="73"/>
      <x:c r="F51" s="73"/>
      <x:c r="G51" s="63"/>
      <x:c r="H51" s="61" t="str">
        <x:f>IF(B51="","",IFERROR(VLOOKUP(B51,Proveedores!$B$6:$K$205,10,FALSE),""))</x:f>
      </x:c>
      <x:c r="I51" s="24"/>
      <x:c r="J51" s="24"/>
      <x:c r="K51" s="59"/>
      <x:c r="L51" s="71"/>
      <x:c r="M51" s="115" t="str">
        <x:f>IF(B51="","",IFERROR(VLOOKUP(B51,Proveedores!$B$6:$L$205,11,FALSE),1))</x:f>
      </x:c>
      <x:c r="N51" s="115" t="str">
        <x:f>IF(G51="","",G51*IF(M51="",1,M51))</x:f>
      </x:c>
    </x:row>
    <x:row r="52">
      <x:c r="A52" s="61"/>
      <x:c r="B52" s="24"/>
      <x:c r="C52" s="61" t="str">
        <x:f>IF(B52="","",IFERROR(VLOOKUP(B52,Proveedores!$B$6:$C$205,2,FALSE),""))</x:f>
      </x:c>
      <x:c r="D52" s="59"/>
      <x:c r="E52" s="73"/>
      <x:c r="F52" s="73"/>
      <x:c r="G52" s="63"/>
      <x:c r="H52" s="61" t="str">
        <x:f>IF(B52="","",IFERROR(VLOOKUP(B52,Proveedores!$B$6:$K$205,10,FALSE),""))</x:f>
      </x:c>
      <x:c r="I52" s="24"/>
      <x:c r="J52" s="24"/>
      <x:c r="K52" s="59"/>
      <x:c r="L52" s="71"/>
      <x:c r="M52" s="115" t="str">
        <x:f>IF(B52="","",IFERROR(VLOOKUP(B52,Proveedores!$B$6:$L$205,11,FALSE),1))</x:f>
      </x:c>
      <x:c r="N52" s="115" t="str">
        <x:f>IF(G52="","",G52*IF(M52="",1,M52))</x:f>
      </x:c>
    </x:row>
    <x:row r="53">
      <x:c r="A53" s="61"/>
      <x:c r="B53" s="24"/>
      <x:c r="C53" s="61" t="str">
        <x:f>IF(B53="","",IFERROR(VLOOKUP(B53,Proveedores!$B$6:$C$205,2,FALSE),""))</x:f>
      </x:c>
      <x:c r="D53" s="59"/>
      <x:c r="E53" s="73"/>
      <x:c r="F53" s="73"/>
      <x:c r="G53" s="63"/>
      <x:c r="H53" s="61" t="str">
        <x:f>IF(B53="","",IFERROR(VLOOKUP(B53,Proveedores!$B$6:$K$205,10,FALSE),""))</x:f>
      </x:c>
      <x:c r="I53" s="24"/>
      <x:c r="J53" s="24"/>
      <x:c r="K53" s="59"/>
      <x:c r="L53" s="71"/>
      <x:c r="M53" s="115" t="str">
        <x:f>IF(B53="","",IFERROR(VLOOKUP(B53,Proveedores!$B$6:$L$205,11,FALSE),1))</x:f>
      </x:c>
      <x:c r="N53" s="115" t="str">
        <x:f>IF(G53="","",G53*IF(M53="",1,M53))</x:f>
      </x:c>
    </x:row>
    <x:row r="54">
      <x:c r="A54" s="61"/>
      <x:c r="B54" s="24"/>
      <x:c r="C54" s="61" t="str">
        <x:f>IF(B54="","",IFERROR(VLOOKUP(B54,Proveedores!$B$6:$C$205,2,FALSE),""))</x:f>
      </x:c>
      <x:c r="D54" s="59"/>
      <x:c r="E54" s="73"/>
      <x:c r="F54" s="73"/>
      <x:c r="G54" s="63"/>
      <x:c r="H54" s="61" t="str">
        <x:f>IF(B54="","",IFERROR(VLOOKUP(B54,Proveedores!$B$6:$K$205,10,FALSE),""))</x:f>
      </x:c>
      <x:c r="I54" s="24"/>
      <x:c r="J54" s="24"/>
      <x:c r="K54" s="59"/>
      <x:c r="L54" s="71"/>
      <x:c r="M54" s="115" t="str">
        <x:f>IF(B54="","",IFERROR(VLOOKUP(B54,Proveedores!$B$6:$L$205,11,FALSE),1))</x:f>
      </x:c>
      <x:c r="N54" s="115" t="str">
        <x:f>IF(G54="","",G54*IF(M54="",1,M54))</x:f>
      </x:c>
    </x:row>
    <x:row r="55">
      <x:c r="A55" s="61"/>
      <x:c r="B55" s="24"/>
      <x:c r="C55" s="61" t="str">
        <x:f>IF(B55="","",IFERROR(VLOOKUP(B55,Proveedores!$B$6:$C$205,2,FALSE),""))</x:f>
      </x:c>
      <x:c r="D55" s="59"/>
      <x:c r="E55" s="73"/>
      <x:c r="F55" s="73"/>
      <x:c r="G55" s="63"/>
      <x:c r="H55" s="61" t="str">
        <x:f>IF(B55="","",IFERROR(VLOOKUP(B55,Proveedores!$B$6:$K$205,10,FALSE),""))</x:f>
      </x:c>
      <x:c r="I55" s="24"/>
      <x:c r="J55" s="24"/>
      <x:c r="K55" s="59"/>
      <x:c r="L55" s="71"/>
      <x:c r="M55" s="115" t="str">
        <x:f>IF(B55="","",IFERROR(VLOOKUP(B55,Proveedores!$B$6:$L$205,11,FALSE),1))</x:f>
      </x:c>
      <x:c r="N55" s="115" t="str">
        <x:f>IF(G55="","",G55*IF(M55="",1,M55))</x:f>
      </x:c>
    </x:row>
    <x:row r="56">
      <x:c r="A56" s="61"/>
      <x:c r="B56" s="24"/>
      <x:c r="C56" s="61" t="str">
        <x:f>IF(B56="","",IFERROR(VLOOKUP(B56,Proveedores!$B$6:$C$205,2,FALSE),""))</x:f>
      </x:c>
      <x:c r="D56" s="59"/>
      <x:c r="E56" s="73"/>
      <x:c r="F56" s="73"/>
      <x:c r="G56" s="63"/>
      <x:c r="H56" s="61" t="str">
        <x:f>IF(B56="","",IFERROR(VLOOKUP(B56,Proveedores!$B$6:$K$205,10,FALSE),""))</x:f>
      </x:c>
      <x:c r="I56" s="24"/>
      <x:c r="J56" s="24"/>
      <x:c r="K56" s="59"/>
      <x:c r="L56" s="71"/>
      <x:c r="M56" s="115" t="str">
        <x:f>IF(B56="","",IFERROR(VLOOKUP(B56,Proveedores!$B$6:$L$205,11,FALSE),1))</x:f>
      </x:c>
      <x:c r="N56" s="115" t="str">
        <x:f>IF(G56="","",G56*IF(M56="",1,M56))</x:f>
      </x:c>
    </x:row>
    <x:row r="57">
      <x:c r="A57" s="61"/>
      <x:c r="B57" s="24"/>
      <x:c r="C57" s="61" t="str">
        <x:f>IF(B57="","",IFERROR(VLOOKUP(B57,Proveedores!$B$6:$C$205,2,FALSE),""))</x:f>
      </x:c>
      <x:c r="D57" s="59"/>
      <x:c r="E57" s="73"/>
      <x:c r="F57" s="73"/>
      <x:c r="G57" s="63"/>
      <x:c r="H57" s="61" t="str">
        <x:f>IF(B57="","",IFERROR(VLOOKUP(B57,Proveedores!$B$6:$K$205,10,FALSE),""))</x:f>
      </x:c>
      <x:c r="I57" s="24"/>
      <x:c r="J57" s="24"/>
      <x:c r="K57" s="59"/>
      <x:c r="L57" s="71"/>
      <x:c r="M57" s="115" t="str">
        <x:f>IF(B57="","",IFERROR(VLOOKUP(B57,Proveedores!$B$6:$L$205,11,FALSE),1))</x:f>
      </x:c>
      <x:c r="N57" s="115" t="str">
        <x:f>IF(G57="","",G57*IF(M57="",1,M57))</x:f>
      </x:c>
    </x:row>
    <x:row r="58">
      <x:c r="A58" s="61"/>
      <x:c r="B58" s="24"/>
      <x:c r="C58" s="61" t="str">
        <x:f>IF(B58="","",IFERROR(VLOOKUP(B58,Proveedores!$B$6:$C$205,2,FALSE),""))</x:f>
      </x:c>
      <x:c r="D58" s="59"/>
      <x:c r="E58" s="73"/>
      <x:c r="F58" s="73"/>
      <x:c r="G58" s="63"/>
      <x:c r="H58" s="61" t="str">
        <x:f>IF(B58="","",IFERROR(VLOOKUP(B58,Proveedores!$B$6:$K$205,10,FALSE),""))</x:f>
      </x:c>
      <x:c r="I58" s="24"/>
      <x:c r="J58" s="24"/>
      <x:c r="K58" s="59"/>
      <x:c r="L58" s="71"/>
      <x:c r="M58" s="115" t="str">
        <x:f>IF(B58="","",IFERROR(VLOOKUP(B58,Proveedores!$B$6:$L$205,11,FALSE),1))</x:f>
      </x:c>
      <x:c r="N58" s="115" t="str">
        <x:f>IF(G58="","",G58*IF(M58="",1,M58))</x:f>
      </x:c>
    </x:row>
    <x:row r="59">
      <x:c r="A59" s="61"/>
      <x:c r="B59" s="24"/>
      <x:c r="C59" s="61" t="str">
        <x:f>IF(B59="","",IFERROR(VLOOKUP(B59,Proveedores!$B$6:$C$205,2,FALSE),""))</x:f>
      </x:c>
      <x:c r="D59" s="59"/>
      <x:c r="E59" s="73"/>
      <x:c r="F59" s="73"/>
      <x:c r="G59" s="63"/>
      <x:c r="H59" s="61" t="str">
        <x:f>IF(B59="","",IFERROR(VLOOKUP(B59,Proveedores!$B$6:$K$205,10,FALSE),""))</x:f>
      </x:c>
      <x:c r="I59" s="24"/>
      <x:c r="J59" s="24"/>
      <x:c r="K59" s="59"/>
      <x:c r="L59" s="71"/>
      <x:c r="M59" s="115" t="str">
        <x:f>IF(B59="","",IFERROR(VLOOKUP(B59,Proveedores!$B$6:$L$205,11,FALSE),1))</x:f>
      </x:c>
      <x:c r="N59" s="115" t="str">
        <x:f>IF(G59="","",G59*IF(M59="",1,M59))</x:f>
      </x:c>
    </x:row>
    <x:row r="60">
      <x:c r="A60" s="61"/>
      <x:c r="B60" s="24"/>
      <x:c r="C60" s="61" t="str">
        <x:f>IF(B60="","",IFERROR(VLOOKUP(B60,Proveedores!$B$6:$C$205,2,FALSE),""))</x:f>
      </x:c>
      <x:c r="D60" s="59"/>
      <x:c r="E60" s="73"/>
      <x:c r="F60" s="73"/>
      <x:c r="G60" s="63"/>
      <x:c r="H60" s="61" t="str">
        <x:f>IF(B60="","",IFERROR(VLOOKUP(B60,Proveedores!$B$6:$K$205,10,FALSE),""))</x:f>
      </x:c>
      <x:c r="I60" s="24"/>
      <x:c r="J60" s="24"/>
      <x:c r="K60" s="59"/>
      <x:c r="L60" s="71"/>
      <x:c r="M60" s="115" t="str">
        <x:f>IF(B60="","",IFERROR(VLOOKUP(B60,Proveedores!$B$6:$L$205,11,FALSE),1))</x:f>
      </x:c>
      <x:c r="N60" s="115" t="str">
        <x:f>IF(G60="","",G60*IF(M60="",1,M60))</x:f>
      </x:c>
    </x:row>
    <x:row r="61">
      <x:c r="A61" s="61"/>
      <x:c r="B61" s="24"/>
      <x:c r="C61" s="61" t="str">
        <x:f>IF(B61="","",IFERROR(VLOOKUP(B61,Proveedores!$B$6:$C$205,2,FALSE),""))</x:f>
      </x:c>
      <x:c r="D61" s="59"/>
      <x:c r="E61" s="73"/>
      <x:c r="F61" s="73"/>
      <x:c r="G61" s="63"/>
      <x:c r="H61" s="61" t="str">
        <x:f>IF(B61="","",IFERROR(VLOOKUP(B61,Proveedores!$B$6:$K$205,10,FALSE),""))</x:f>
      </x:c>
      <x:c r="I61" s="24"/>
      <x:c r="J61" s="24"/>
      <x:c r="K61" s="59"/>
      <x:c r="L61" s="71"/>
      <x:c r="M61" s="115" t="str">
        <x:f>IF(B61="","",IFERROR(VLOOKUP(B61,Proveedores!$B$6:$L$205,11,FALSE),1))</x:f>
      </x:c>
      <x:c r="N61" s="115" t="str">
        <x:f>IF(G61="","",G61*IF(M61="",1,M61))</x:f>
      </x:c>
    </x:row>
    <x:row r="62">
      <x:c r="A62" s="61"/>
      <x:c r="B62" s="24"/>
      <x:c r="C62" s="61" t="str">
        <x:f>IF(B62="","",IFERROR(VLOOKUP(B62,Proveedores!$B$6:$C$205,2,FALSE),""))</x:f>
      </x:c>
      <x:c r="D62" s="59"/>
      <x:c r="E62" s="73"/>
      <x:c r="F62" s="73"/>
      <x:c r="G62" s="63"/>
      <x:c r="H62" s="61" t="str">
        <x:f>IF(B62="","",IFERROR(VLOOKUP(B62,Proveedores!$B$6:$K$205,10,FALSE),""))</x:f>
      </x:c>
      <x:c r="I62" s="24"/>
      <x:c r="J62" s="24"/>
      <x:c r="K62" s="59"/>
      <x:c r="L62" s="71"/>
      <x:c r="M62" s="115" t="str">
        <x:f>IF(B62="","",IFERROR(VLOOKUP(B62,Proveedores!$B$6:$L$205,11,FALSE),1))</x:f>
      </x:c>
      <x:c r="N62" s="115" t="str">
        <x:f>IF(G62="","",G62*IF(M62="",1,M62))</x:f>
      </x:c>
    </x:row>
    <x:row r="63">
      <x:c r="A63" s="61"/>
      <x:c r="B63" s="24"/>
      <x:c r="C63" s="61" t="str">
        <x:f>IF(B63="","",IFERROR(VLOOKUP(B63,Proveedores!$B$6:$C$205,2,FALSE),""))</x:f>
      </x:c>
      <x:c r="D63" s="59"/>
      <x:c r="E63" s="73"/>
      <x:c r="F63" s="73"/>
      <x:c r="G63" s="63"/>
      <x:c r="H63" s="61" t="str">
        <x:f>IF(B63="","",IFERROR(VLOOKUP(B63,Proveedores!$B$6:$K$205,10,FALSE),""))</x:f>
      </x:c>
      <x:c r="I63" s="24"/>
      <x:c r="J63" s="24"/>
      <x:c r="K63" s="59"/>
      <x:c r="L63" s="71"/>
      <x:c r="M63" s="115" t="str">
        <x:f>IF(B63="","",IFERROR(VLOOKUP(B63,Proveedores!$B$6:$L$205,11,FALSE),1))</x:f>
      </x:c>
      <x:c r="N63" s="115" t="str">
        <x:f>IF(G63="","",G63*IF(M63="",1,M63))</x:f>
      </x:c>
    </x:row>
    <x:row r="64">
      <x:c r="A64" s="61"/>
      <x:c r="B64" s="24"/>
      <x:c r="C64" s="61" t="str">
        <x:f>IF(B64="","",IFERROR(VLOOKUP(B64,Proveedores!$B$6:$C$205,2,FALSE),""))</x:f>
      </x:c>
      <x:c r="D64" s="59"/>
      <x:c r="E64" s="73"/>
      <x:c r="F64" s="73"/>
      <x:c r="G64" s="63"/>
      <x:c r="H64" s="61" t="str">
        <x:f>IF(B64="","",IFERROR(VLOOKUP(B64,Proveedores!$B$6:$K$205,10,FALSE),""))</x:f>
      </x:c>
      <x:c r="I64" s="24"/>
      <x:c r="J64" s="24"/>
      <x:c r="K64" s="59"/>
      <x:c r="L64" s="71"/>
      <x:c r="M64" s="115" t="str">
        <x:f>IF(B64="","",IFERROR(VLOOKUP(B64,Proveedores!$B$6:$L$205,11,FALSE),1))</x:f>
      </x:c>
      <x:c r="N64" s="115" t="str">
        <x:f>IF(G64="","",G64*IF(M64="",1,M64))</x:f>
      </x:c>
    </x:row>
    <x:row r="65">
      <x:c r="A65" s="61"/>
      <x:c r="B65" s="24"/>
      <x:c r="C65" s="61" t="str">
        <x:f>IF(B65="","",IFERROR(VLOOKUP(B65,Proveedores!$B$6:$C$205,2,FALSE),""))</x:f>
      </x:c>
      <x:c r="D65" s="59"/>
      <x:c r="E65" s="73"/>
      <x:c r="F65" s="73"/>
      <x:c r="G65" s="63"/>
      <x:c r="H65" s="61" t="str">
        <x:f>IF(B65="","",IFERROR(VLOOKUP(B65,Proveedores!$B$6:$K$205,10,FALSE),""))</x:f>
      </x:c>
      <x:c r="I65" s="24"/>
      <x:c r="J65" s="24"/>
      <x:c r="K65" s="59"/>
      <x:c r="L65" s="71"/>
      <x:c r="M65" s="115" t="str">
        <x:f>IF(B65="","",IFERROR(VLOOKUP(B65,Proveedores!$B$6:$L$205,11,FALSE),1))</x:f>
      </x:c>
      <x:c r="N65" s="115" t="str">
        <x:f>IF(G65="","",G65*IF(M65="",1,M65))</x:f>
      </x:c>
    </x:row>
    <x:row r="66">
      <x:c r="A66" s="61"/>
      <x:c r="B66" s="24"/>
      <x:c r="C66" s="61" t="str">
        <x:f>IF(B66="","",IFERROR(VLOOKUP(B66,Proveedores!$B$6:$C$205,2,FALSE),""))</x:f>
      </x:c>
      <x:c r="D66" s="59"/>
      <x:c r="E66" s="73"/>
      <x:c r="F66" s="73"/>
      <x:c r="G66" s="63"/>
      <x:c r="H66" s="61" t="str">
        <x:f>IF(B66="","",IFERROR(VLOOKUP(B66,Proveedores!$B$6:$K$205,10,FALSE),""))</x:f>
      </x:c>
      <x:c r="I66" s="24"/>
      <x:c r="J66" s="24"/>
      <x:c r="K66" s="59"/>
      <x:c r="L66" s="71"/>
      <x:c r="M66" s="115" t="str">
        <x:f>IF(B66="","",IFERROR(VLOOKUP(B66,Proveedores!$B$6:$L$205,11,FALSE),1))</x:f>
      </x:c>
      <x:c r="N66" s="115" t="str">
        <x:f>IF(G66="","",G66*IF(M66="",1,M66))</x:f>
      </x:c>
    </x:row>
    <x:row r="67">
      <x:c r="A67" s="61"/>
      <x:c r="B67" s="24"/>
      <x:c r="C67" s="61" t="str">
        <x:f>IF(B67="","",IFERROR(VLOOKUP(B67,Proveedores!$B$6:$C$205,2,FALSE),""))</x:f>
      </x:c>
      <x:c r="D67" s="59"/>
      <x:c r="E67" s="73"/>
      <x:c r="F67" s="73"/>
      <x:c r="G67" s="63"/>
      <x:c r="H67" s="61" t="str">
        <x:f>IF(B67="","",IFERROR(VLOOKUP(B67,Proveedores!$B$6:$K$205,10,FALSE),""))</x:f>
      </x:c>
      <x:c r="I67" s="24"/>
      <x:c r="J67" s="24"/>
      <x:c r="K67" s="59"/>
      <x:c r="L67" s="71"/>
      <x:c r="M67" s="115" t="str">
        <x:f>IF(B67="","",IFERROR(VLOOKUP(B67,Proveedores!$B$6:$L$205,11,FALSE),1))</x:f>
      </x:c>
      <x:c r="N67" s="115" t="str">
        <x:f>IF(G67="","",G67*IF(M67="",1,M67))</x:f>
      </x:c>
    </x:row>
    <x:row r="68">
      <x:c r="A68" s="61"/>
      <x:c r="B68" s="24"/>
      <x:c r="C68" s="61" t="str">
        <x:f>IF(B68="","",IFERROR(VLOOKUP(B68,Proveedores!$B$6:$C$205,2,FALSE),""))</x:f>
      </x:c>
      <x:c r="D68" s="59"/>
      <x:c r="E68" s="73"/>
      <x:c r="F68" s="73"/>
      <x:c r="G68" s="63"/>
      <x:c r="H68" s="61" t="str">
        <x:f>IF(B68="","",IFERROR(VLOOKUP(B68,Proveedores!$B$6:$K$205,10,FALSE),""))</x:f>
      </x:c>
      <x:c r="I68" s="24"/>
      <x:c r="J68" s="24"/>
      <x:c r="K68" s="59"/>
      <x:c r="L68" s="71"/>
      <x:c r="M68" s="115" t="str">
        <x:f>IF(B68="","",IFERROR(VLOOKUP(B68,Proveedores!$B$6:$L$205,11,FALSE),1))</x:f>
      </x:c>
      <x:c r="N68" s="115" t="str">
        <x:f>IF(G68="","",G68*IF(M68="",1,M68))</x:f>
      </x:c>
    </x:row>
    <x:row r="69">
      <x:c r="A69" s="61"/>
      <x:c r="B69" s="24"/>
      <x:c r="C69" s="61" t="str">
        <x:f>IF(B69="","",IFERROR(VLOOKUP(B69,Proveedores!$B$6:$C$205,2,FALSE),""))</x:f>
      </x:c>
      <x:c r="D69" s="59"/>
      <x:c r="E69" s="73"/>
      <x:c r="F69" s="73"/>
      <x:c r="G69" s="63"/>
      <x:c r="H69" s="61" t="str">
        <x:f>IF(B69="","",IFERROR(VLOOKUP(B69,Proveedores!$B$6:$K$205,10,FALSE),""))</x:f>
      </x:c>
      <x:c r="I69" s="24"/>
      <x:c r="J69" s="24"/>
      <x:c r="K69" s="59"/>
      <x:c r="L69" s="71"/>
      <x:c r="M69" s="115" t="str">
        <x:f>IF(B69="","",IFERROR(VLOOKUP(B69,Proveedores!$B$6:$L$205,11,FALSE),1))</x:f>
      </x:c>
      <x:c r="N69" s="115" t="str">
        <x:f>IF(G69="","",G69*IF(M69="",1,M69))</x:f>
      </x:c>
    </x:row>
    <x:row r="70">
      <x:c r="A70" s="61"/>
      <x:c r="B70" s="24"/>
      <x:c r="C70" s="61" t="str">
        <x:f>IF(B70="","",IFERROR(VLOOKUP(B70,Proveedores!$B$6:$C$205,2,FALSE),""))</x:f>
      </x:c>
      <x:c r="D70" s="59"/>
      <x:c r="E70" s="73"/>
      <x:c r="F70" s="73"/>
      <x:c r="G70" s="63"/>
      <x:c r="H70" s="61" t="str">
        <x:f>IF(B70="","",IFERROR(VLOOKUP(B70,Proveedores!$B$6:$K$205,10,FALSE),""))</x:f>
      </x:c>
      <x:c r="I70" s="24"/>
      <x:c r="J70" s="24"/>
      <x:c r="K70" s="59"/>
      <x:c r="L70" s="71"/>
      <x:c r="M70" s="115" t="str">
        <x:f>IF(B70="","",IFERROR(VLOOKUP(B70,Proveedores!$B$6:$L$205,11,FALSE),1))</x:f>
      </x:c>
      <x:c r="N70" s="115" t="str">
        <x:f>IF(G70="","",G70*IF(M70="",1,M70))</x:f>
      </x:c>
    </x:row>
    <x:row r="71">
      <x:c r="A71" s="61"/>
      <x:c r="B71" s="24"/>
      <x:c r="C71" s="61" t="str">
        <x:f>IF(B71="","",IFERROR(VLOOKUP(B71,Proveedores!$B$6:$C$205,2,FALSE),""))</x:f>
      </x:c>
      <x:c r="D71" s="59"/>
      <x:c r="E71" s="73"/>
      <x:c r="F71" s="73"/>
      <x:c r="G71" s="63"/>
      <x:c r="H71" s="61" t="str">
        <x:f>IF(B71="","",IFERROR(VLOOKUP(B71,Proveedores!$B$6:$K$205,10,FALSE),""))</x:f>
      </x:c>
      <x:c r="I71" s="24"/>
      <x:c r="J71" s="24"/>
      <x:c r="K71" s="59"/>
      <x:c r="L71" s="71"/>
      <x:c r="M71" s="115" t="str">
        <x:f>IF(B71="","",IFERROR(VLOOKUP(B71,Proveedores!$B$6:$L$205,11,FALSE),1))</x:f>
      </x:c>
      <x:c r="N71" s="115" t="str">
        <x:f>IF(G71="","",G71*IF(M71="",1,M71))</x:f>
      </x:c>
    </x:row>
    <x:row r="72">
      <x:c r="A72" s="61"/>
      <x:c r="B72" s="24"/>
      <x:c r="C72" s="61" t="str">
        <x:f>IF(B72="","",IFERROR(VLOOKUP(B72,Proveedores!$B$6:$C$205,2,FALSE),""))</x:f>
      </x:c>
      <x:c r="D72" s="59"/>
      <x:c r="E72" s="73"/>
      <x:c r="F72" s="73"/>
      <x:c r="G72" s="63"/>
      <x:c r="H72" s="61" t="str">
        <x:f>IF(B72="","",IFERROR(VLOOKUP(B72,Proveedores!$B$6:$K$205,10,FALSE),""))</x:f>
      </x:c>
      <x:c r="I72" s="24"/>
      <x:c r="J72" s="24"/>
      <x:c r="K72" s="59"/>
      <x:c r="L72" s="71"/>
      <x:c r="M72" s="115" t="str">
        <x:f>IF(B72="","",IFERROR(VLOOKUP(B72,Proveedores!$B$6:$L$205,11,FALSE),1))</x:f>
      </x:c>
      <x:c r="N72" s="115" t="str">
        <x:f>IF(G72="","",G72*IF(M72="",1,M72))</x:f>
      </x:c>
    </x:row>
    <x:row r="73">
      <x:c r="A73" s="61"/>
      <x:c r="B73" s="24"/>
      <x:c r="C73" s="61" t="str">
        <x:f>IF(B73="","",IFERROR(VLOOKUP(B73,Proveedores!$B$6:$C$205,2,FALSE),""))</x:f>
      </x:c>
      <x:c r="D73" s="59"/>
      <x:c r="E73" s="73"/>
      <x:c r="F73" s="73"/>
      <x:c r="G73" s="63"/>
      <x:c r="H73" s="61" t="str">
        <x:f>IF(B73="","",IFERROR(VLOOKUP(B73,Proveedores!$B$6:$K$205,10,FALSE),""))</x:f>
      </x:c>
      <x:c r="I73" s="24"/>
      <x:c r="J73" s="24"/>
      <x:c r="K73" s="59"/>
      <x:c r="L73" s="71"/>
      <x:c r="M73" s="115" t="str">
        <x:f>IF(B73="","",IFERROR(VLOOKUP(B73,Proveedores!$B$6:$L$205,11,FALSE),1))</x:f>
      </x:c>
      <x:c r="N73" s="115" t="str">
        <x:f>IF(G73="","",G73*IF(M73="",1,M73))</x:f>
      </x:c>
    </x:row>
    <x:row r="74">
      <x:c r="A74" s="61"/>
      <x:c r="B74" s="24"/>
      <x:c r="C74" s="61" t="str">
        <x:f>IF(B74="","",IFERROR(VLOOKUP(B74,Proveedores!$B$6:$C$205,2,FALSE),""))</x:f>
      </x:c>
      <x:c r="D74" s="59"/>
      <x:c r="E74" s="73"/>
      <x:c r="F74" s="73"/>
      <x:c r="G74" s="63"/>
      <x:c r="H74" s="61" t="str">
        <x:f>IF(B74="","",IFERROR(VLOOKUP(B74,Proveedores!$B$6:$K$205,10,FALSE),""))</x:f>
      </x:c>
      <x:c r="I74" s="24"/>
      <x:c r="J74" s="24"/>
      <x:c r="K74" s="59"/>
      <x:c r="L74" s="71"/>
      <x:c r="M74" s="115" t="str">
        <x:f>IF(B74="","",IFERROR(VLOOKUP(B74,Proveedores!$B$6:$L$205,11,FALSE),1))</x:f>
      </x:c>
      <x:c r="N74" s="115" t="str">
        <x:f>IF(G74="","",G74*IF(M74="",1,M74))</x:f>
      </x:c>
    </x:row>
    <x:row r="75">
      <x:c r="A75" s="61"/>
      <x:c r="B75" s="24"/>
      <x:c r="C75" s="61" t="str">
        <x:f>IF(B75="","",IFERROR(VLOOKUP(B75,Proveedores!$B$6:$C$205,2,FALSE),""))</x:f>
      </x:c>
      <x:c r="D75" s="59"/>
      <x:c r="E75" s="73"/>
      <x:c r="F75" s="73"/>
      <x:c r="G75" s="63"/>
      <x:c r="H75" s="61" t="str">
        <x:f>IF(B75="","",IFERROR(VLOOKUP(B75,Proveedores!$B$6:$K$205,10,FALSE),""))</x:f>
      </x:c>
      <x:c r="I75" s="24"/>
      <x:c r="J75" s="24"/>
      <x:c r="K75" s="59"/>
      <x:c r="L75" s="71"/>
      <x:c r="M75" s="115" t="str">
        <x:f>IF(B75="","",IFERROR(VLOOKUP(B75,Proveedores!$B$6:$L$205,11,FALSE),1))</x:f>
      </x:c>
      <x:c r="N75" s="115" t="str">
        <x:f>IF(G75="","",G75*IF(M75="",1,M75))</x:f>
      </x:c>
    </x:row>
    <x:row r="76">
      <x:c r="A76" s="61"/>
      <x:c r="B76" s="24"/>
      <x:c r="C76" s="61" t="str">
        <x:f>IF(B76="","",IFERROR(VLOOKUP(B76,Proveedores!$B$6:$C$205,2,FALSE),""))</x:f>
      </x:c>
      <x:c r="D76" s="59"/>
      <x:c r="E76" s="73"/>
      <x:c r="F76" s="73"/>
      <x:c r="G76" s="63"/>
      <x:c r="H76" s="61" t="str">
        <x:f>IF(B76="","",IFERROR(VLOOKUP(B76,Proveedores!$B$6:$K$205,10,FALSE),""))</x:f>
      </x:c>
      <x:c r="I76" s="24"/>
      <x:c r="J76" s="24"/>
      <x:c r="K76" s="59"/>
      <x:c r="L76" s="71"/>
      <x:c r="M76" s="115" t="str">
        <x:f>IF(B76="","",IFERROR(VLOOKUP(B76,Proveedores!$B$6:$L$205,11,FALSE),1))</x:f>
      </x:c>
      <x:c r="N76" s="115" t="str">
        <x:f>IF(G76="","",G76*IF(M76="",1,M76))</x:f>
      </x:c>
    </x:row>
    <x:row r="77">
      <x:c r="A77" s="61"/>
      <x:c r="B77" s="24"/>
      <x:c r="C77" s="61" t="str">
        <x:f>IF(B77="","",IFERROR(VLOOKUP(B77,Proveedores!$B$6:$C$205,2,FALSE),""))</x:f>
      </x:c>
      <x:c r="D77" s="59"/>
      <x:c r="E77" s="73"/>
      <x:c r="F77" s="73"/>
      <x:c r="G77" s="63"/>
      <x:c r="H77" s="61" t="str">
        <x:f>IF(B77="","",IFERROR(VLOOKUP(B77,Proveedores!$B$6:$K$205,10,FALSE),""))</x:f>
      </x:c>
      <x:c r="I77" s="24"/>
      <x:c r="J77" s="24"/>
      <x:c r="K77" s="59"/>
      <x:c r="L77" s="71"/>
      <x:c r="M77" s="115" t="str">
        <x:f>IF(B77="","",IFERROR(VLOOKUP(B77,Proveedores!$B$6:$L$205,11,FALSE),1))</x:f>
      </x:c>
      <x:c r="N77" s="115" t="str">
        <x:f>IF(G77="","",G77*IF(M77="",1,M77))</x:f>
      </x:c>
    </x:row>
    <x:row r="78">
      <x:c r="A78" s="61"/>
      <x:c r="B78" s="24"/>
      <x:c r="C78" s="61" t="str">
        <x:f>IF(B78="","",IFERROR(VLOOKUP(B78,Proveedores!$B$6:$C$205,2,FALSE),""))</x:f>
      </x:c>
      <x:c r="D78" s="59"/>
      <x:c r="E78" s="73"/>
      <x:c r="F78" s="73"/>
      <x:c r="G78" s="63"/>
      <x:c r="H78" s="61" t="str">
        <x:f>IF(B78="","",IFERROR(VLOOKUP(B78,Proveedores!$B$6:$K$205,10,FALSE),""))</x:f>
      </x:c>
      <x:c r="I78" s="24"/>
      <x:c r="J78" s="24"/>
      <x:c r="K78" s="59"/>
      <x:c r="L78" s="71"/>
      <x:c r="M78" s="115" t="str">
        <x:f>IF(B78="","",IFERROR(VLOOKUP(B78,Proveedores!$B$6:$L$205,11,FALSE),1))</x:f>
      </x:c>
      <x:c r="N78" s="115" t="str">
        <x:f>IF(G78="","",G78*IF(M78="",1,M78))</x:f>
      </x:c>
    </x:row>
    <x:row r="79">
      <x:c r="A79" s="61"/>
      <x:c r="B79" s="24"/>
      <x:c r="C79" s="61" t="str">
        <x:f>IF(B79="","",IFERROR(VLOOKUP(B79,Proveedores!$B$6:$C$205,2,FALSE),""))</x:f>
      </x:c>
      <x:c r="D79" s="59"/>
      <x:c r="E79" s="73"/>
      <x:c r="F79" s="73"/>
      <x:c r="G79" s="63"/>
      <x:c r="H79" s="61" t="str">
        <x:f>IF(B79="","",IFERROR(VLOOKUP(B79,Proveedores!$B$6:$K$205,10,FALSE),""))</x:f>
      </x:c>
      <x:c r="I79" s="24"/>
      <x:c r="J79" s="24"/>
      <x:c r="K79" s="59"/>
      <x:c r="L79" s="71"/>
      <x:c r="M79" s="115" t="str">
        <x:f>IF(B79="","",IFERROR(VLOOKUP(B79,Proveedores!$B$6:$L$205,11,FALSE),1))</x:f>
      </x:c>
      <x:c r="N79" s="115" t="str">
        <x:f>IF(G79="","",G79*IF(M79="",1,M79))</x:f>
      </x:c>
    </x:row>
    <x:row r="80">
      <x:c r="A80" s="61"/>
      <x:c r="B80" s="24"/>
      <x:c r="C80" s="61" t="str">
        <x:f>IF(B80="","",IFERROR(VLOOKUP(B80,Proveedores!$B$6:$C$205,2,FALSE),""))</x:f>
      </x:c>
      <x:c r="D80" s="59"/>
      <x:c r="E80" s="73"/>
      <x:c r="F80" s="73"/>
      <x:c r="G80" s="63"/>
      <x:c r="H80" s="61" t="str">
        <x:f>IF(B80="","",IFERROR(VLOOKUP(B80,Proveedores!$B$6:$K$205,10,FALSE),""))</x:f>
      </x:c>
      <x:c r="I80" s="24"/>
      <x:c r="J80" s="24"/>
      <x:c r="K80" s="59"/>
      <x:c r="L80" s="71"/>
      <x:c r="M80" s="115" t="str">
        <x:f>IF(B80="","",IFERROR(VLOOKUP(B80,Proveedores!$B$6:$L$205,11,FALSE),1))</x:f>
      </x:c>
      <x:c r="N80" s="115" t="str">
        <x:f>IF(G80="","",G80*IF(M80="",1,M80))</x:f>
      </x:c>
    </x:row>
    <x:row r="81">
      <x:c r="A81" s="61"/>
      <x:c r="B81" s="24"/>
      <x:c r="C81" s="61" t="str">
        <x:f>IF(B81="","",IFERROR(VLOOKUP(B81,Proveedores!$B$6:$C$205,2,FALSE),""))</x:f>
      </x:c>
      <x:c r="D81" s="59"/>
      <x:c r="E81" s="73"/>
      <x:c r="F81" s="73"/>
      <x:c r="G81" s="63"/>
      <x:c r="H81" s="61" t="str">
        <x:f>IF(B81="","",IFERROR(VLOOKUP(B81,Proveedores!$B$6:$K$205,10,FALSE),""))</x:f>
      </x:c>
      <x:c r="I81" s="24"/>
      <x:c r="J81" s="24"/>
      <x:c r="K81" s="59"/>
      <x:c r="L81" s="71"/>
      <x:c r="M81" s="115" t="str">
        <x:f>IF(B81="","",IFERROR(VLOOKUP(B81,Proveedores!$B$6:$L$205,11,FALSE),1))</x:f>
      </x:c>
      <x:c r="N81" s="115" t="str">
        <x:f>IF(G81="","",G81*IF(M81="",1,M81))</x:f>
      </x:c>
    </x:row>
    <x:row r="82">
      <x:c r="A82" s="61"/>
      <x:c r="B82" s="24"/>
      <x:c r="C82" s="61" t="str">
        <x:f>IF(B82="","",IFERROR(VLOOKUP(B82,Proveedores!$B$6:$C$205,2,FALSE),""))</x:f>
      </x:c>
      <x:c r="D82" s="59"/>
      <x:c r="E82" s="73"/>
      <x:c r="F82" s="73"/>
      <x:c r="G82" s="63"/>
      <x:c r="H82" s="61" t="str">
        <x:f>IF(B82="","",IFERROR(VLOOKUP(B82,Proveedores!$B$6:$K$205,10,FALSE),""))</x:f>
      </x:c>
      <x:c r="I82" s="24"/>
      <x:c r="J82" s="24"/>
      <x:c r="K82" s="59"/>
      <x:c r="L82" s="71"/>
      <x:c r="M82" s="115" t="str">
        <x:f>IF(B82="","",IFERROR(VLOOKUP(B82,Proveedores!$B$6:$L$205,11,FALSE),1))</x:f>
      </x:c>
      <x:c r="N82" s="115" t="str">
        <x:f>IF(G82="","",G82*IF(M82="",1,M82))</x:f>
      </x:c>
    </x:row>
    <x:row r="83">
      <x:c r="A83" s="61"/>
      <x:c r="B83" s="24"/>
      <x:c r="C83" s="61" t="str">
        <x:f>IF(B83="","",IFERROR(VLOOKUP(B83,Proveedores!$B$6:$C$205,2,FALSE),""))</x:f>
      </x:c>
      <x:c r="D83" s="59"/>
      <x:c r="E83" s="73"/>
      <x:c r="F83" s="73"/>
      <x:c r="G83" s="63"/>
      <x:c r="H83" s="61" t="str">
        <x:f>IF(B83="","",IFERROR(VLOOKUP(B83,Proveedores!$B$6:$K$205,10,FALSE),""))</x:f>
      </x:c>
      <x:c r="I83" s="24"/>
      <x:c r="J83" s="24"/>
      <x:c r="K83" s="59"/>
      <x:c r="L83" s="71"/>
      <x:c r="M83" s="115" t="str">
        <x:f>IF(B83="","",IFERROR(VLOOKUP(B83,Proveedores!$B$6:$L$205,11,FALSE),1))</x:f>
      </x:c>
      <x:c r="N83" s="115" t="str">
        <x:f>IF(G83="","",G83*IF(M83="",1,M83))</x:f>
      </x:c>
    </x:row>
    <x:row r="84">
      <x:c r="A84" s="61"/>
      <x:c r="B84" s="24"/>
      <x:c r="C84" s="61" t="str">
        <x:f>IF(B84="","",IFERROR(VLOOKUP(B84,Proveedores!$B$6:$C$205,2,FALSE),""))</x:f>
      </x:c>
      <x:c r="D84" s="59"/>
      <x:c r="E84" s="73"/>
      <x:c r="F84" s="73"/>
      <x:c r="G84" s="63"/>
      <x:c r="H84" s="61" t="str">
        <x:f>IF(B84="","",IFERROR(VLOOKUP(B84,Proveedores!$B$6:$K$205,10,FALSE),""))</x:f>
      </x:c>
      <x:c r="I84" s="24"/>
      <x:c r="J84" s="24"/>
      <x:c r="K84" s="59"/>
      <x:c r="L84" s="71"/>
      <x:c r="M84" s="115" t="str">
        <x:f>IF(B84="","",IFERROR(VLOOKUP(B84,Proveedores!$B$6:$L$205,11,FALSE),1))</x:f>
      </x:c>
      <x:c r="N84" s="115" t="str">
        <x:f>IF(G84="","",G84*IF(M84="",1,M84))</x:f>
      </x:c>
    </x:row>
    <x:row r="85">
      <x:c r="A85" s="61"/>
      <x:c r="B85" s="24"/>
      <x:c r="C85" s="61" t="str">
        <x:f>IF(B85="","",IFERROR(VLOOKUP(B85,Proveedores!$B$6:$C$205,2,FALSE),""))</x:f>
      </x:c>
      <x:c r="D85" s="59"/>
      <x:c r="E85" s="73"/>
      <x:c r="F85" s="73"/>
      <x:c r="G85" s="63"/>
      <x:c r="H85" s="61" t="str">
        <x:f>IF(B85="","",IFERROR(VLOOKUP(B85,Proveedores!$B$6:$K$205,10,FALSE),""))</x:f>
      </x:c>
      <x:c r="I85" s="24"/>
      <x:c r="J85" s="24"/>
      <x:c r="K85" s="59"/>
      <x:c r="L85" s="71"/>
      <x:c r="M85" s="115" t="str">
        <x:f>IF(B85="","",IFERROR(VLOOKUP(B85,Proveedores!$B$6:$L$205,11,FALSE),1))</x:f>
      </x:c>
      <x:c r="N85" s="115" t="str">
        <x:f>IF(G85="","",G85*IF(M85="",1,M85))</x:f>
      </x:c>
    </x:row>
    <x:row r="86">
      <x:c r="A86" s="61"/>
      <x:c r="B86" s="24"/>
      <x:c r="C86" s="61" t="str">
        <x:f>IF(B86="","",IFERROR(VLOOKUP(B86,Proveedores!$B$6:$C$205,2,FALSE),""))</x:f>
      </x:c>
      <x:c r="D86" s="59"/>
      <x:c r="E86" s="73"/>
      <x:c r="F86" s="73"/>
      <x:c r="G86" s="63"/>
      <x:c r="H86" s="61" t="str">
        <x:f>IF(B86="","",IFERROR(VLOOKUP(B86,Proveedores!$B$6:$K$205,10,FALSE),""))</x:f>
      </x:c>
      <x:c r="I86" s="24"/>
      <x:c r="J86" s="24"/>
      <x:c r="K86" s="59"/>
      <x:c r="L86" s="71"/>
      <x:c r="M86" s="115" t="str">
        <x:f>IF(B86="","",IFERROR(VLOOKUP(B86,Proveedores!$B$6:$L$205,11,FALSE),1))</x:f>
      </x:c>
      <x:c r="N86" s="115" t="str">
        <x:f>IF(G86="","",G86*IF(M86="",1,M86))</x:f>
      </x:c>
    </x:row>
    <x:row r="87">
      <x:c r="A87" s="61"/>
      <x:c r="B87" s="24"/>
      <x:c r="C87" s="61" t="str">
        <x:f>IF(B87="","",IFERROR(VLOOKUP(B87,Proveedores!$B$6:$C$205,2,FALSE),""))</x:f>
      </x:c>
      <x:c r="D87" s="59"/>
      <x:c r="E87" s="73"/>
      <x:c r="F87" s="73"/>
      <x:c r="G87" s="63"/>
      <x:c r="H87" s="61" t="str">
        <x:f>IF(B87="","",IFERROR(VLOOKUP(B87,Proveedores!$B$6:$K$205,10,FALSE),""))</x:f>
      </x:c>
      <x:c r="I87" s="24"/>
      <x:c r="J87" s="24"/>
      <x:c r="K87" s="59"/>
      <x:c r="L87" s="71"/>
      <x:c r="M87" s="115" t="str">
        <x:f>IF(B87="","",IFERROR(VLOOKUP(B87,Proveedores!$B$6:$L$205,11,FALSE),1))</x:f>
      </x:c>
      <x:c r="N87" s="115" t="str">
        <x:f>IF(G87="","",G87*IF(M87="",1,M87))</x:f>
      </x:c>
    </x:row>
    <x:row r="88">
      <x:c r="A88" s="61"/>
      <x:c r="B88" s="24"/>
      <x:c r="C88" s="61" t="str">
        <x:f>IF(B88="","",IFERROR(VLOOKUP(B88,Proveedores!$B$6:$C$205,2,FALSE),""))</x:f>
      </x:c>
      <x:c r="D88" s="59"/>
      <x:c r="E88" s="73"/>
      <x:c r="F88" s="73"/>
      <x:c r="G88" s="63"/>
      <x:c r="H88" s="61" t="str">
        <x:f>IF(B88="","",IFERROR(VLOOKUP(B88,Proveedores!$B$6:$K$205,10,FALSE),""))</x:f>
      </x:c>
      <x:c r="I88" s="24"/>
      <x:c r="J88" s="24"/>
      <x:c r="K88" s="59"/>
      <x:c r="L88" s="71"/>
      <x:c r="M88" s="115" t="str">
        <x:f>IF(B88="","",IFERROR(VLOOKUP(B88,Proveedores!$B$6:$L$205,11,FALSE),1))</x:f>
      </x:c>
      <x:c r="N88" s="115" t="str">
        <x:f>IF(G88="","",G88*IF(M88="",1,M88))</x:f>
      </x:c>
    </x:row>
    <x:row r="89">
      <x:c r="A89" s="61"/>
      <x:c r="B89" s="24"/>
      <x:c r="C89" s="61" t="str">
        <x:f>IF(B89="","",IFERROR(VLOOKUP(B89,Proveedores!$B$6:$C$205,2,FALSE),""))</x:f>
      </x:c>
      <x:c r="D89" s="59"/>
      <x:c r="E89" s="73"/>
      <x:c r="F89" s="73"/>
      <x:c r="G89" s="63"/>
      <x:c r="H89" s="61" t="str">
        <x:f>IF(B89="","",IFERROR(VLOOKUP(B89,Proveedores!$B$6:$K$205,10,FALSE),""))</x:f>
      </x:c>
      <x:c r="I89" s="24"/>
      <x:c r="J89" s="24"/>
      <x:c r="K89" s="59"/>
      <x:c r="L89" s="71"/>
      <x:c r="M89" s="115" t="str">
        <x:f>IF(B89="","",IFERROR(VLOOKUP(B89,Proveedores!$B$6:$L$205,11,FALSE),1))</x:f>
      </x:c>
      <x:c r="N89" s="115" t="str">
        <x:f>IF(G89="","",G89*IF(M89="",1,M89))</x:f>
      </x:c>
    </x:row>
    <x:row r="90">
      <x:c r="A90" s="61"/>
      <x:c r="B90" s="24"/>
      <x:c r="C90" s="61" t="str">
        <x:f>IF(B90="","",IFERROR(VLOOKUP(B90,Proveedores!$B$6:$C$205,2,FALSE),""))</x:f>
      </x:c>
      <x:c r="D90" s="59"/>
      <x:c r="E90" s="73"/>
      <x:c r="F90" s="73"/>
      <x:c r="G90" s="63"/>
      <x:c r="H90" s="61" t="str">
        <x:f>IF(B90="","",IFERROR(VLOOKUP(B90,Proveedores!$B$6:$K$205,10,FALSE),""))</x:f>
      </x:c>
      <x:c r="I90" s="24"/>
      <x:c r="J90" s="24"/>
      <x:c r="K90" s="59"/>
      <x:c r="L90" s="71"/>
      <x:c r="M90" s="115" t="str">
        <x:f>IF(B90="","",IFERROR(VLOOKUP(B90,Proveedores!$B$6:$L$205,11,FALSE),1))</x:f>
      </x:c>
      <x:c r="N90" s="115" t="str">
        <x:f>IF(G90="","",G90*IF(M90="",1,M90))</x:f>
      </x:c>
    </x:row>
    <x:row r="91">
      <x:c r="A91" s="61"/>
      <x:c r="B91" s="24"/>
      <x:c r="C91" s="61" t="str">
        <x:f>IF(B91="","",IFERROR(VLOOKUP(B91,Proveedores!$B$6:$C$205,2,FALSE),""))</x:f>
      </x:c>
      <x:c r="D91" s="59"/>
      <x:c r="E91" s="73"/>
      <x:c r="F91" s="73"/>
      <x:c r="G91" s="63"/>
      <x:c r="H91" s="61" t="str">
        <x:f>IF(B91="","",IFERROR(VLOOKUP(B91,Proveedores!$B$6:$K$205,10,FALSE),""))</x:f>
      </x:c>
      <x:c r="I91" s="24"/>
      <x:c r="J91" s="24"/>
      <x:c r="K91" s="59"/>
      <x:c r="L91" s="71"/>
      <x:c r="M91" s="115" t="str">
        <x:f>IF(B91="","",IFERROR(VLOOKUP(B91,Proveedores!$B$6:$L$205,11,FALSE),1))</x:f>
      </x:c>
      <x:c r="N91" s="115" t="str">
        <x:f>IF(G91="","",G91*IF(M91="",1,M91))</x:f>
      </x:c>
    </x:row>
    <x:row r="92">
      <x:c r="A92" s="61"/>
      <x:c r="B92" s="24"/>
      <x:c r="C92" s="61" t="str">
        <x:f>IF(B92="","",IFERROR(VLOOKUP(B92,Proveedores!$B$6:$C$205,2,FALSE),""))</x:f>
      </x:c>
      <x:c r="D92" s="59"/>
      <x:c r="E92" s="73"/>
      <x:c r="F92" s="73"/>
      <x:c r="G92" s="63"/>
      <x:c r="H92" s="61" t="str">
        <x:f>IF(B92="","",IFERROR(VLOOKUP(B92,Proveedores!$B$6:$K$205,10,FALSE),""))</x:f>
      </x:c>
      <x:c r="I92" s="24"/>
      <x:c r="J92" s="24"/>
      <x:c r="K92" s="59"/>
      <x:c r="L92" s="71"/>
      <x:c r="M92" s="115" t="str">
        <x:f>IF(B92="","",IFERROR(VLOOKUP(B92,Proveedores!$B$6:$L$205,11,FALSE),1))</x:f>
      </x:c>
      <x:c r="N92" s="115" t="str">
        <x:f>IF(G92="","",G92*IF(M92="",1,M92))</x:f>
      </x:c>
    </x:row>
    <x:row r="93">
      <x:c r="A93" s="61"/>
      <x:c r="B93" s="24"/>
      <x:c r="C93" s="61" t="str">
        <x:f>IF(B93="","",IFERROR(VLOOKUP(B93,Proveedores!$B$6:$C$205,2,FALSE),""))</x:f>
      </x:c>
      <x:c r="D93" s="59"/>
      <x:c r="E93" s="73"/>
      <x:c r="F93" s="73"/>
      <x:c r="G93" s="63"/>
      <x:c r="H93" s="61" t="str">
        <x:f>IF(B93="","",IFERROR(VLOOKUP(B93,Proveedores!$B$6:$K$205,10,FALSE),""))</x:f>
      </x:c>
      <x:c r="I93" s="24"/>
      <x:c r="J93" s="24"/>
      <x:c r="K93" s="59"/>
      <x:c r="L93" s="71"/>
      <x:c r="M93" s="115" t="str">
        <x:f>IF(B93="","",IFERROR(VLOOKUP(B93,Proveedores!$B$6:$L$205,11,FALSE),1))</x:f>
      </x:c>
      <x:c r="N93" s="115" t="str">
        <x:f>IF(G93="","",G93*IF(M93="",1,M93))</x:f>
      </x:c>
    </x:row>
    <x:row r="94">
      <x:c r="A94" s="61"/>
      <x:c r="B94" s="24"/>
      <x:c r="C94" s="61" t="str">
        <x:f>IF(B94="","",IFERROR(VLOOKUP(B94,Proveedores!$B$6:$C$205,2,FALSE),""))</x:f>
      </x:c>
      <x:c r="D94" s="59"/>
      <x:c r="E94" s="73"/>
      <x:c r="F94" s="73"/>
      <x:c r="G94" s="63"/>
      <x:c r="H94" s="61" t="str">
        <x:f>IF(B94="","",IFERROR(VLOOKUP(B94,Proveedores!$B$6:$K$205,10,FALSE),""))</x:f>
      </x:c>
      <x:c r="I94" s="24"/>
      <x:c r="J94" s="24"/>
      <x:c r="K94" s="59"/>
      <x:c r="L94" s="71"/>
      <x:c r="M94" s="115" t="str">
        <x:f>IF(B94="","",IFERROR(VLOOKUP(B94,Proveedores!$B$6:$L$205,11,FALSE),1))</x:f>
      </x:c>
      <x:c r="N94" s="115" t="str">
        <x:f>IF(G94="","",G94*IF(M94="",1,M94))</x:f>
      </x:c>
    </x:row>
    <x:row r="95">
      <x:c r="A95" s="61"/>
      <x:c r="B95" s="24"/>
      <x:c r="C95" s="61" t="str">
        <x:f>IF(B95="","",IFERROR(VLOOKUP(B95,Proveedores!$B$6:$C$205,2,FALSE),""))</x:f>
      </x:c>
      <x:c r="D95" s="59"/>
      <x:c r="E95" s="73"/>
      <x:c r="F95" s="73"/>
      <x:c r="G95" s="63"/>
      <x:c r="H95" s="61" t="str">
        <x:f>IF(B95="","",IFERROR(VLOOKUP(B95,Proveedores!$B$6:$K$205,10,FALSE),""))</x:f>
      </x:c>
      <x:c r="I95" s="24"/>
      <x:c r="J95" s="24"/>
      <x:c r="K95" s="59"/>
      <x:c r="L95" s="71"/>
      <x:c r="M95" s="115" t="str">
        <x:f>IF(B95="","",IFERROR(VLOOKUP(B95,Proveedores!$B$6:$L$205,11,FALSE),1))</x:f>
      </x:c>
      <x:c r="N95" s="115" t="str">
        <x:f>IF(G95="","",G95*IF(M95="",1,M95))</x:f>
      </x:c>
    </x:row>
    <x:row r="96">
      <x:c r="A96" s="61"/>
      <x:c r="B96" s="24"/>
      <x:c r="C96" s="61" t="str">
        <x:f>IF(B96="","",IFERROR(VLOOKUP(B96,Proveedores!$B$6:$C$205,2,FALSE),""))</x:f>
      </x:c>
      <x:c r="D96" s="59"/>
      <x:c r="E96" s="73"/>
      <x:c r="F96" s="73"/>
      <x:c r="G96" s="63"/>
      <x:c r="H96" s="61" t="str">
        <x:f>IF(B96="","",IFERROR(VLOOKUP(B96,Proveedores!$B$6:$K$205,10,FALSE),""))</x:f>
      </x:c>
      <x:c r="I96" s="24"/>
      <x:c r="J96" s="24"/>
      <x:c r="K96" s="59"/>
      <x:c r="L96" s="71"/>
      <x:c r="M96" s="115" t="str">
        <x:f>IF(B96="","",IFERROR(VLOOKUP(B96,Proveedores!$B$6:$L$205,11,FALSE),1))</x:f>
      </x:c>
      <x:c r="N96" s="115" t="str">
        <x:f>IF(G96="","",G96*IF(M96="",1,M96))</x:f>
      </x:c>
    </x:row>
    <x:row r="97">
      <x:c r="A97" s="61"/>
      <x:c r="B97" s="24"/>
      <x:c r="C97" s="61" t="str">
        <x:f>IF(B97="","",IFERROR(VLOOKUP(B97,Proveedores!$B$6:$C$205,2,FALSE),""))</x:f>
      </x:c>
      <x:c r="D97" s="59"/>
      <x:c r="E97" s="73"/>
      <x:c r="F97" s="73"/>
      <x:c r="G97" s="63"/>
      <x:c r="H97" s="61" t="str">
        <x:f>IF(B97="","",IFERROR(VLOOKUP(B97,Proveedores!$B$6:$K$205,10,FALSE),""))</x:f>
      </x:c>
      <x:c r="I97" s="24"/>
      <x:c r="J97" s="24"/>
      <x:c r="K97" s="59"/>
      <x:c r="L97" s="71"/>
      <x:c r="M97" s="115" t="str">
        <x:f>IF(B97="","",IFERROR(VLOOKUP(B97,Proveedores!$B$6:$L$205,11,FALSE),1))</x:f>
      </x:c>
      <x:c r="N97" s="115" t="str">
        <x:f>IF(G97="","",G97*IF(M97="",1,M97))</x:f>
      </x:c>
    </x:row>
    <x:row r="98">
      <x:c r="A98" s="61"/>
      <x:c r="B98" s="24"/>
      <x:c r="C98" s="61" t="str">
        <x:f>IF(B98="","",IFERROR(VLOOKUP(B98,Proveedores!$B$6:$C$205,2,FALSE),""))</x:f>
      </x:c>
      <x:c r="D98" s="59"/>
      <x:c r="E98" s="73"/>
      <x:c r="F98" s="73"/>
      <x:c r="G98" s="63"/>
      <x:c r="H98" s="61" t="str">
        <x:f>IF(B98="","",IFERROR(VLOOKUP(B98,Proveedores!$B$6:$K$205,10,FALSE),""))</x:f>
      </x:c>
      <x:c r="I98" s="24"/>
      <x:c r="J98" s="24"/>
      <x:c r="K98" s="59"/>
      <x:c r="L98" s="71"/>
      <x:c r="M98" s="115" t="str">
        <x:f>IF(B98="","",IFERROR(VLOOKUP(B98,Proveedores!$B$6:$L$205,11,FALSE),1))</x:f>
      </x:c>
      <x:c r="N98" s="115" t="str">
        <x:f>IF(G98="","",G98*IF(M98="",1,M98))</x:f>
      </x:c>
    </x:row>
    <x:row r="99">
      <x:c r="A99" s="61"/>
      <x:c r="B99" s="24"/>
      <x:c r="C99" s="61" t="str">
        <x:f>IF(B99="","",IFERROR(VLOOKUP(B99,Proveedores!$B$6:$C$205,2,FALSE),""))</x:f>
      </x:c>
      <x:c r="D99" s="59"/>
      <x:c r="E99" s="73"/>
      <x:c r="F99" s="73"/>
      <x:c r="G99" s="63"/>
      <x:c r="H99" s="61" t="str">
        <x:f>IF(B99="","",IFERROR(VLOOKUP(B99,Proveedores!$B$6:$K$205,10,FALSE),""))</x:f>
      </x:c>
      <x:c r="I99" s="24"/>
      <x:c r="J99" s="24"/>
      <x:c r="K99" s="59"/>
      <x:c r="L99" s="71"/>
      <x:c r="M99" s="115" t="str">
        <x:f>IF(B99="","",IFERROR(VLOOKUP(B99,Proveedores!$B$6:$L$205,11,FALSE),1))</x:f>
      </x:c>
      <x:c r="N99" s="115" t="str">
        <x:f>IF(G99="","",G99*IF(M99="",1,M99))</x:f>
      </x:c>
    </x:row>
    <x:row r="100">
      <x:c r="A100" s="61"/>
      <x:c r="B100" s="24"/>
      <x:c r="C100" s="61" t="str">
        <x:f>IF(B100="","",IFERROR(VLOOKUP(B100,Proveedores!$B$6:$C$205,2,FALSE),""))</x:f>
      </x:c>
      <x:c r="D100" s="59"/>
      <x:c r="E100" s="73"/>
      <x:c r="F100" s="73"/>
      <x:c r="G100" s="63"/>
      <x:c r="H100" s="61" t="str">
        <x:f>IF(B100="","",IFERROR(VLOOKUP(B100,Proveedores!$B$6:$K$205,10,FALSE),""))</x:f>
      </x:c>
      <x:c r="I100" s="24"/>
      <x:c r="J100" s="24"/>
      <x:c r="K100" s="59"/>
      <x:c r="L100" s="71"/>
      <x:c r="M100" s="115" t="str">
        <x:f>IF(B100="","",IFERROR(VLOOKUP(B100,Proveedores!$B$6:$L$205,11,FALSE),1))</x:f>
      </x:c>
      <x:c r="N100" s="115" t="str">
        <x:f>IF(G100="","",G100*IF(M100="",1,M100))</x:f>
      </x:c>
    </x:row>
    <x:row r="101">
      <x:c r="A101" s="61"/>
      <x:c r="B101" s="24"/>
      <x:c r="C101" s="61" t="str">
        <x:f>IF(B101="","",IFERROR(VLOOKUP(B101,Proveedores!$B$6:$C$205,2,FALSE),""))</x:f>
      </x:c>
      <x:c r="D101" s="59"/>
      <x:c r="E101" s="73"/>
      <x:c r="F101" s="73"/>
      <x:c r="G101" s="63"/>
      <x:c r="H101" s="61" t="str">
        <x:f>IF(B101="","",IFERROR(VLOOKUP(B101,Proveedores!$B$6:$K$205,10,FALSE),""))</x:f>
      </x:c>
      <x:c r="I101" s="24"/>
      <x:c r="J101" s="24"/>
      <x:c r="K101" s="59"/>
      <x:c r="L101" s="71"/>
      <x:c r="M101" s="115" t="str">
        <x:f>IF(B101="","",IFERROR(VLOOKUP(B101,Proveedores!$B$6:$L$205,11,FALSE),1))</x:f>
      </x:c>
      <x:c r="N101" s="115" t="str">
        <x:f>IF(G101="","",G101*IF(M101="",1,M101))</x:f>
      </x:c>
    </x:row>
    <x:row r="102">
      <x:c r="A102" s="61"/>
      <x:c r="B102" s="24"/>
      <x:c r="C102" s="61" t="str">
        <x:f>IF(B102="","",IFERROR(VLOOKUP(B102,Proveedores!$B$6:$C$205,2,FALSE),""))</x:f>
      </x:c>
      <x:c r="D102" s="59"/>
      <x:c r="E102" s="73"/>
      <x:c r="F102" s="73"/>
      <x:c r="G102" s="63"/>
      <x:c r="H102" s="61" t="str">
        <x:f>IF(B102="","",IFERROR(VLOOKUP(B102,Proveedores!$B$6:$K$205,10,FALSE),""))</x:f>
      </x:c>
      <x:c r="I102" s="24"/>
      <x:c r="J102" s="24"/>
      <x:c r="K102" s="59"/>
      <x:c r="L102" s="71"/>
      <x:c r="M102" s="115" t="str">
        <x:f>IF(B102="","",IFERROR(VLOOKUP(B102,Proveedores!$B$6:$L$205,11,FALSE),1))</x:f>
      </x:c>
      <x:c r="N102" s="115" t="str">
        <x:f>IF(G102="","",G102*IF(M102="",1,M102))</x:f>
      </x:c>
    </x:row>
    <x:row r="103">
      <x:c r="A103" s="61"/>
      <x:c r="B103" s="24"/>
      <x:c r="C103" s="61" t="str">
        <x:f>IF(B103="","",IFERROR(VLOOKUP(B103,Proveedores!$B$6:$C$205,2,FALSE),""))</x:f>
      </x:c>
      <x:c r="D103" s="59"/>
      <x:c r="E103" s="73"/>
      <x:c r="F103" s="73"/>
      <x:c r="G103" s="63"/>
      <x:c r="H103" s="61" t="str">
        <x:f>IF(B103="","",IFERROR(VLOOKUP(B103,Proveedores!$B$6:$K$205,10,FALSE),""))</x:f>
      </x:c>
      <x:c r="I103" s="24"/>
      <x:c r="J103" s="24"/>
      <x:c r="K103" s="59"/>
      <x:c r="L103" s="71"/>
      <x:c r="M103" s="115" t="str">
        <x:f>IF(B103="","",IFERROR(VLOOKUP(B103,Proveedores!$B$6:$L$205,11,FALSE),1))</x:f>
      </x:c>
      <x:c r="N103" s="115" t="str">
        <x:f>IF(G103="","",G103*IF(M103="",1,M103))</x:f>
      </x:c>
    </x:row>
    <x:row r="104">
      <x:c r="A104" s="61"/>
      <x:c r="B104" s="24"/>
      <x:c r="C104" s="61" t="str">
        <x:f>IF(B104="","",IFERROR(VLOOKUP(B104,Proveedores!$B$6:$C$205,2,FALSE),""))</x:f>
      </x:c>
      <x:c r="D104" s="59"/>
      <x:c r="E104" s="73"/>
      <x:c r="F104" s="73"/>
      <x:c r="G104" s="63"/>
      <x:c r="H104" s="61" t="str">
        <x:f>IF(B104="","",IFERROR(VLOOKUP(B104,Proveedores!$B$6:$K$205,10,FALSE),""))</x:f>
      </x:c>
      <x:c r="I104" s="24"/>
      <x:c r="J104" s="24"/>
      <x:c r="K104" s="59"/>
      <x:c r="L104" s="71"/>
      <x:c r="M104" s="115" t="str">
        <x:f>IF(B104="","",IFERROR(VLOOKUP(B104,Proveedores!$B$6:$L$205,11,FALSE),1))</x:f>
      </x:c>
      <x:c r="N104" s="115" t="str">
        <x:f>IF(G104="","",G104*IF(M104="",1,M104))</x:f>
      </x:c>
    </x:row>
    <x:row r="105">
      <x:c r="A105" s="61"/>
      <x:c r="B105" s="24"/>
      <x:c r="C105" s="61" t="str">
        <x:f>IF(B105="","",IFERROR(VLOOKUP(B105,Proveedores!$B$6:$C$205,2,FALSE),""))</x:f>
      </x:c>
      <x:c r="D105" s="59"/>
      <x:c r="E105" s="73"/>
      <x:c r="F105" s="73"/>
      <x:c r="G105" s="63"/>
      <x:c r="H105" s="61" t="str">
        <x:f>IF(B105="","",IFERROR(VLOOKUP(B105,Proveedores!$B$6:$K$205,10,FALSE),""))</x:f>
      </x:c>
      <x:c r="I105" s="24"/>
      <x:c r="J105" s="24"/>
      <x:c r="K105" s="59"/>
      <x:c r="L105" s="71"/>
      <x:c r="M105" s="115" t="str">
        <x:f>IF(B105="","",IFERROR(VLOOKUP(B105,Proveedores!$B$6:$L$205,11,FALSE),1))</x:f>
      </x:c>
      <x:c r="N105" s="115" t="str">
        <x:f>IF(G105="","",G105*IF(M105="",1,M105))</x:f>
      </x:c>
    </x:row>
    <x:row r="106">
      <x:c r="A106" s="61"/>
      <x:c r="B106" s="24"/>
      <x:c r="C106" s="61" t="str">
        <x:f>IF(B106="","",IFERROR(VLOOKUP(B106,Proveedores!$B$6:$C$205,2,FALSE),""))</x:f>
      </x:c>
      <x:c r="D106" s="59"/>
      <x:c r="E106" s="73"/>
      <x:c r="F106" s="73"/>
      <x:c r="G106" s="63"/>
      <x:c r="H106" s="61" t="str">
        <x:f>IF(B106="","",IFERROR(VLOOKUP(B106,Proveedores!$B$6:$K$205,10,FALSE),""))</x:f>
      </x:c>
      <x:c r="I106" s="24"/>
      <x:c r="J106" s="24"/>
      <x:c r="K106" s="59"/>
      <x:c r="L106" s="71"/>
      <x:c r="M106" s="115" t="str">
        <x:f>IF(B106="","",IFERROR(VLOOKUP(B106,Proveedores!$B$6:$L$205,11,FALSE),1))</x:f>
      </x:c>
      <x:c r="N106" s="115" t="str">
        <x:f>IF(G106="","",G106*IF(M106="",1,M106))</x:f>
      </x:c>
    </x:row>
    <x:row r="107">
      <x:c r="A107" s="61"/>
      <x:c r="B107" s="24"/>
      <x:c r="C107" s="61" t="str">
        <x:f>IF(B107="","",IFERROR(VLOOKUP(B107,Proveedores!$B$6:$C$205,2,FALSE),""))</x:f>
      </x:c>
      <x:c r="D107" s="59"/>
      <x:c r="E107" s="73"/>
      <x:c r="F107" s="73"/>
      <x:c r="G107" s="63"/>
      <x:c r="H107" s="61" t="str">
        <x:f>IF(B107="","",IFERROR(VLOOKUP(B107,Proveedores!$B$6:$K$205,10,FALSE),""))</x:f>
      </x:c>
      <x:c r="I107" s="24"/>
      <x:c r="J107" s="24"/>
      <x:c r="K107" s="59"/>
      <x:c r="L107" s="71"/>
      <x:c r="M107" s="115" t="str">
        <x:f>IF(B107="","",IFERROR(VLOOKUP(B107,Proveedores!$B$6:$L$205,11,FALSE),1))</x:f>
      </x:c>
      <x:c r="N107" s="115" t="str">
        <x:f>IF(G107="","",G107*IF(M107="",1,M107))</x:f>
      </x:c>
    </x:row>
    <x:row r="108">
      <x:c r="A108" s="61"/>
      <x:c r="B108" s="24"/>
      <x:c r="C108" s="61" t="str">
        <x:f>IF(B108="","",IFERROR(VLOOKUP(B108,Proveedores!$B$6:$C$205,2,FALSE),""))</x:f>
      </x:c>
      <x:c r="D108" s="59"/>
      <x:c r="E108" s="73"/>
      <x:c r="F108" s="73"/>
      <x:c r="G108" s="63"/>
      <x:c r="H108" s="61" t="str">
        <x:f>IF(B108="","",IFERROR(VLOOKUP(B108,Proveedores!$B$6:$K$205,10,FALSE),""))</x:f>
      </x:c>
      <x:c r="I108" s="24"/>
      <x:c r="J108" s="24"/>
      <x:c r="K108" s="59"/>
      <x:c r="L108" s="71"/>
      <x:c r="M108" s="115" t="str">
        <x:f>IF(B108="","",IFERROR(VLOOKUP(B108,Proveedores!$B$6:$L$205,11,FALSE),1))</x:f>
      </x:c>
      <x:c r="N108" s="115" t="str">
        <x:f>IF(G108="","",G108*IF(M108="",1,M108))</x:f>
      </x:c>
    </x:row>
    <x:row r="109">
      <x:c r="A109" s="61"/>
      <x:c r="B109" s="24"/>
      <x:c r="C109" s="61" t="str">
        <x:f>IF(B109="","",IFERROR(VLOOKUP(B109,Proveedores!$B$6:$C$205,2,FALSE),""))</x:f>
      </x:c>
      <x:c r="D109" s="59"/>
      <x:c r="E109" s="73"/>
      <x:c r="F109" s="73"/>
      <x:c r="G109" s="63"/>
      <x:c r="H109" s="61" t="str">
        <x:f>IF(B109="","",IFERROR(VLOOKUP(B109,Proveedores!$B$6:$K$205,10,FALSE),""))</x:f>
      </x:c>
      <x:c r="I109" s="24"/>
      <x:c r="J109" s="24"/>
      <x:c r="K109" s="59"/>
      <x:c r="L109" s="71"/>
      <x:c r="M109" s="115" t="str">
        <x:f>IF(B109="","",IFERROR(VLOOKUP(B109,Proveedores!$B$6:$L$205,11,FALSE),1))</x:f>
      </x:c>
      <x:c r="N109" s="115" t="str">
        <x:f>IF(G109="","",G109*IF(M109="",1,M109))</x:f>
      </x:c>
    </x:row>
    <x:row r="110">
      <x:c r="A110" s="61"/>
      <x:c r="B110" s="24"/>
      <x:c r="C110" s="61" t="str">
        <x:f>IF(B110="","",IFERROR(VLOOKUP(B110,Proveedores!$B$6:$C$205,2,FALSE),""))</x:f>
      </x:c>
      <x:c r="D110" s="59"/>
      <x:c r="E110" s="73"/>
      <x:c r="F110" s="73"/>
      <x:c r="G110" s="63"/>
      <x:c r="H110" s="61" t="str">
        <x:f>IF(B110="","",IFERROR(VLOOKUP(B110,Proveedores!$B$6:$K$205,10,FALSE),""))</x:f>
      </x:c>
      <x:c r="I110" s="24"/>
      <x:c r="J110" s="24"/>
      <x:c r="K110" s="59"/>
      <x:c r="L110" s="71"/>
      <x:c r="M110" s="115" t="str">
        <x:f>IF(B110="","",IFERROR(VLOOKUP(B110,Proveedores!$B$6:$L$205,11,FALSE),1))</x:f>
      </x:c>
      <x:c r="N110" s="115" t="str">
        <x:f>IF(G110="","",G110*IF(M110="",1,M110))</x:f>
      </x:c>
    </x:row>
    <x:row r="111">
      <x:c r="A111" s="61"/>
      <x:c r="B111" s="24"/>
      <x:c r="C111" s="61" t="str">
        <x:f>IF(B111="","",IFERROR(VLOOKUP(B111,Proveedores!$B$6:$C$205,2,FALSE),""))</x:f>
      </x:c>
      <x:c r="D111" s="59"/>
      <x:c r="E111" s="73"/>
      <x:c r="F111" s="73"/>
      <x:c r="G111" s="63"/>
      <x:c r="H111" s="61" t="str">
        <x:f>IF(B111="","",IFERROR(VLOOKUP(B111,Proveedores!$B$6:$K$205,10,FALSE),""))</x:f>
      </x:c>
      <x:c r="I111" s="24"/>
      <x:c r="J111" s="24"/>
      <x:c r="K111" s="59"/>
      <x:c r="L111" s="71"/>
      <x:c r="M111" s="115" t="str">
        <x:f>IF(B111="","",IFERROR(VLOOKUP(B111,Proveedores!$B$6:$L$205,11,FALSE),1))</x:f>
      </x:c>
      <x:c r="N111" s="115" t="str">
        <x:f>IF(G111="","",G111*IF(M111="",1,M111))</x:f>
      </x:c>
    </x:row>
    <x:row r="112">
      <x:c r="A112" s="61"/>
      <x:c r="B112" s="24"/>
      <x:c r="C112" s="61" t="str">
        <x:f>IF(B112="","",IFERROR(VLOOKUP(B112,Proveedores!$B$6:$C$205,2,FALSE),""))</x:f>
      </x:c>
      <x:c r="D112" s="59"/>
      <x:c r="E112" s="73"/>
      <x:c r="F112" s="73"/>
      <x:c r="G112" s="63"/>
      <x:c r="H112" s="61" t="str">
        <x:f>IF(B112="","",IFERROR(VLOOKUP(B112,Proveedores!$B$6:$K$205,10,FALSE),""))</x:f>
      </x:c>
      <x:c r="I112" s="24"/>
      <x:c r="J112" s="24"/>
      <x:c r="K112" s="59"/>
      <x:c r="L112" s="71"/>
      <x:c r="M112" s="115" t="str">
        <x:f>IF(B112="","",IFERROR(VLOOKUP(B112,Proveedores!$B$6:$L$205,11,FALSE),1))</x:f>
      </x:c>
      <x:c r="N112" s="115" t="str">
        <x:f>IF(G112="","",G112*IF(M112="",1,M112))</x:f>
      </x:c>
    </x:row>
    <x:row r="113">
      <x:c r="A113" s="61"/>
      <x:c r="B113" s="24"/>
      <x:c r="C113" s="61" t="str">
        <x:f>IF(B113="","",IFERROR(VLOOKUP(B113,Proveedores!$B$6:$C$205,2,FALSE),""))</x:f>
      </x:c>
      <x:c r="D113" s="59"/>
      <x:c r="E113" s="73"/>
      <x:c r="F113" s="73"/>
      <x:c r="G113" s="63"/>
      <x:c r="H113" s="61" t="str">
        <x:f>IF(B113="","",IFERROR(VLOOKUP(B113,Proveedores!$B$6:$K$205,10,FALSE),""))</x:f>
      </x:c>
      <x:c r="I113" s="24"/>
      <x:c r="J113" s="24"/>
      <x:c r="K113" s="59"/>
      <x:c r="L113" s="71"/>
      <x:c r="M113" s="115" t="str">
        <x:f>IF(B113="","",IFERROR(VLOOKUP(B113,Proveedores!$B$6:$L$205,11,FALSE),1))</x:f>
      </x:c>
      <x:c r="N113" s="115" t="str">
        <x:f>IF(G113="","",G113*IF(M113="",1,M113))</x:f>
      </x:c>
    </x:row>
    <x:row r="114">
      <x:c r="A114" s="61"/>
      <x:c r="B114" s="24"/>
      <x:c r="C114" s="61" t="str">
        <x:f>IF(B114="","",IFERROR(VLOOKUP(B114,Proveedores!$B$6:$C$205,2,FALSE),""))</x:f>
      </x:c>
      <x:c r="D114" s="59"/>
      <x:c r="E114" s="73"/>
      <x:c r="F114" s="73"/>
      <x:c r="G114" s="63"/>
      <x:c r="H114" s="61" t="str">
        <x:f>IF(B114="","",IFERROR(VLOOKUP(B114,Proveedores!$B$6:$K$205,10,FALSE),""))</x:f>
      </x:c>
      <x:c r="I114" s="24"/>
      <x:c r="J114" s="24"/>
      <x:c r="K114" s="59"/>
      <x:c r="L114" s="71"/>
      <x:c r="M114" s="115" t="str">
        <x:f>IF(B114="","",IFERROR(VLOOKUP(B114,Proveedores!$B$6:$L$205,11,FALSE),1))</x:f>
      </x:c>
      <x:c r="N114" s="115" t="str">
        <x:f>IF(G114="","",G114*IF(M114="",1,M114))</x:f>
      </x:c>
    </x:row>
    <x:row r="115">
      <x:c r="A115" s="61"/>
      <x:c r="B115" s="24"/>
      <x:c r="C115" s="61" t="str">
        <x:f>IF(B115="","",IFERROR(VLOOKUP(B115,Proveedores!$B$6:$C$205,2,FALSE),""))</x:f>
      </x:c>
      <x:c r="D115" s="59"/>
      <x:c r="E115" s="73"/>
      <x:c r="F115" s="73"/>
      <x:c r="G115" s="63"/>
      <x:c r="H115" s="61" t="str">
        <x:f>IF(B115="","",IFERROR(VLOOKUP(B115,Proveedores!$B$6:$K$205,10,FALSE),""))</x:f>
      </x:c>
      <x:c r="I115" s="24"/>
      <x:c r="J115" s="24"/>
      <x:c r="K115" s="59"/>
      <x:c r="L115" s="71"/>
      <x:c r="M115" s="115" t="str">
        <x:f>IF(B115="","",IFERROR(VLOOKUP(B115,Proveedores!$B$6:$L$205,11,FALSE),1))</x:f>
      </x:c>
      <x:c r="N115" s="115" t="str">
        <x:f>IF(G115="","",G115*IF(M115="",1,M115))</x:f>
      </x:c>
    </x:row>
    <x:row r="116">
      <x:c r="A116" s="61"/>
      <x:c r="B116" s="24"/>
      <x:c r="C116" s="61" t="str">
        <x:f>IF(B116="","",IFERROR(VLOOKUP(B116,Proveedores!$B$6:$C$205,2,FALSE),""))</x:f>
      </x:c>
      <x:c r="D116" s="59"/>
      <x:c r="E116" s="73"/>
      <x:c r="F116" s="73"/>
      <x:c r="G116" s="63"/>
      <x:c r="H116" s="61" t="str">
        <x:f>IF(B116="","",IFERROR(VLOOKUP(B116,Proveedores!$B$6:$K$205,10,FALSE),""))</x:f>
      </x:c>
      <x:c r="I116" s="24"/>
      <x:c r="J116" s="24"/>
      <x:c r="K116" s="59"/>
      <x:c r="L116" s="71"/>
      <x:c r="M116" s="115" t="str">
        <x:f>IF(B116="","",IFERROR(VLOOKUP(B116,Proveedores!$B$6:$L$205,11,FALSE),1))</x:f>
      </x:c>
      <x:c r="N116" s="115" t="str">
        <x:f>IF(G116="","",G116*IF(M116="",1,M116))</x:f>
      </x:c>
    </x:row>
    <x:row r="117">
      <x:c r="A117" s="61"/>
      <x:c r="B117" s="24"/>
      <x:c r="C117" s="61" t="str">
        <x:f>IF(B117="","",IFERROR(VLOOKUP(B117,Proveedores!$B$6:$C$205,2,FALSE),""))</x:f>
      </x:c>
      <x:c r="D117" s="59"/>
      <x:c r="E117" s="73"/>
      <x:c r="F117" s="73"/>
      <x:c r="G117" s="63"/>
      <x:c r="H117" s="61" t="str">
        <x:f>IF(B117="","",IFERROR(VLOOKUP(B117,Proveedores!$B$6:$K$205,10,FALSE),""))</x:f>
      </x:c>
      <x:c r="I117" s="24"/>
      <x:c r="J117" s="24"/>
      <x:c r="K117" s="59"/>
      <x:c r="L117" s="71"/>
      <x:c r="M117" s="115" t="str">
        <x:f>IF(B117="","",IFERROR(VLOOKUP(B117,Proveedores!$B$6:$L$205,11,FALSE),1))</x:f>
      </x:c>
      <x:c r="N117" s="115" t="str">
        <x:f>IF(G117="","",G117*IF(M117="",1,M117))</x:f>
      </x:c>
    </x:row>
    <x:row r="118">
      <x:c r="A118" s="61"/>
      <x:c r="B118" s="24"/>
      <x:c r="C118" s="61" t="str">
        <x:f>IF(B118="","",IFERROR(VLOOKUP(B118,Proveedores!$B$6:$C$205,2,FALSE),""))</x:f>
      </x:c>
      <x:c r="D118" s="59"/>
      <x:c r="E118" s="73"/>
      <x:c r="F118" s="73"/>
      <x:c r="G118" s="63"/>
      <x:c r="H118" s="61" t="str">
        <x:f>IF(B118="","",IFERROR(VLOOKUP(B118,Proveedores!$B$6:$K$205,10,FALSE),""))</x:f>
      </x:c>
      <x:c r="I118" s="24"/>
      <x:c r="J118" s="24"/>
      <x:c r="K118" s="59"/>
      <x:c r="L118" s="71"/>
      <x:c r="M118" s="115" t="str">
        <x:f>IF(B118="","",IFERROR(VLOOKUP(B118,Proveedores!$B$6:$L$205,11,FALSE),1))</x:f>
      </x:c>
      <x:c r="N118" s="115" t="str">
        <x:f>IF(G118="","",G118*IF(M118="",1,M118))</x:f>
      </x:c>
    </x:row>
    <x:row r="119">
      <x:c r="A119" s="61"/>
      <x:c r="B119" s="24"/>
      <x:c r="C119" s="61" t="str">
        <x:f>IF(B119="","",IFERROR(VLOOKUP(B119,Proveedores!$B$6:$C$205,2,FALSE),""))</x:f>
      </x:c>
      <x:c r="D119" s="59"/>
      <x:c r="E119" s="73"/>
      <x:c r="F119" s="73"/>
      <x:c r="G119" s="63"/>
      <x:c r="H119" s="61" t="str">
        <x:f>IF(B119="","",IFERROR(VLOOKUP(B119,Proveedores!$B$6:$K$205,10,FALSE),""))</x:f>
      </x:c>
      <x:c r="I119" s="24"/>
      <x:c r="J119" s="24"/>
      <x:c r="K119" s="59"/>
      <x:c r="L119" s="71"/>
      <x:c r="M119" s="115" t="str">
        <x:f>IF(B119="","",IFERROR(VLOOKUP(B119,Proveedores!$B$6:$L$205,11,FALSE),1))</x:f>
      </x:c>
      <x:c r="N119" s="115" t="str">
        <x:f>IF(G119="","",G119*IF(M119="",1,M119))</x:f>
      </x:c>
    </x:row>
    <x:row r="120">
      <x:c r="A120" s="61"/>
      <x:c r="B120" s="24"/>
      <x:c r="C120" s="61" t="str">
        <x:f>IF(B120="","",IFERROR(VLOOKUP(B120,Proveedores!$B$6:$C$205,2,FALSE),""))</x:f>
      </x:c>
      <x:c r="D120" s="59"/>
      <x:c r="E120" s="73"/>
      <x:c r="F120" s="73"/>
      <x:c r="G120" s="63"/>
      <x:c r="H120" s="61" t="str">
        <x:f>IF(B120="","",IFERROR(VLOOKUP(B120,Proveedores!$B$6:$K$205,10,FALSE),""))</x:f>
      </x:c>
      <x:c r="I120" s="24"/>
      <x:c r="J120" s="24"/>
      <x:c r="K120" s="59"/>
      <x:c r="L120" s="71"/>
      <x:c r="M120" s="115" t="str">
        <x:f>IF(B120="","",IFERROR(VLOOKUP(B120,Proveedores!$B$6:$L$205,11,FALSE),1))</x:f>
      </x:c>
      <x:c r="N120" s="115" t="str">
        <x:f>IF(G120="","",G120*IF(M120="",1,M120))</x:f>
      </x:c>
    </x:row>
    <x:row r="121">
      <x:c r="A121" s="61"/>
      <x:c r="B121" s="24"/>
      <x:c r="C121" s="61" t="str">
        <x:f>IF(B121="","",IFERROR(VLOOKUP(B121,Proveedores!$B$6:$C$205,2,FALSE),""))</x:f>
      </x:c>
      <x:c r="D121" s="59"/>
      <x:c r="E121" s="73"/>
      <x:c r="F121" s="73"/>
      <x:c r="G121" s="63"/>
      <x:c r="H121" s="61" t="str">
        <x:f>IF(B121="","",IFERROR(VLOOKUP(B121,Proveedores!$B$6:$K$205,10,FALSE),""))</x:f>
      </x:c>
      <x:c r="I121" s="24"/>
      <x:c r="J121" s="24"/>
      <x:c r="K121" s="59"/>
      <x:c r="L121" s="71"/>
      <x:c r="M121" s="115" t="str">
        <x:f>IF(B121="","",IFERROR(VLOOKUP(B121,Proveedores!$B$6:$L$205,11,FALSE),1))</x:f>
      </x:c>
      <x:c r="N121" s="115" t="str">
        <x:f>IF(G121="","",G121*IF(M121="",1,M121))</x:f>
      </x:c>
    </x:row>
    <x:row r="122">
      <x:c r="A122" s="61"/>
      <x:c r="B122" s="24"/>
      <x:c r="C122" s="61" t="str">
        <x:f>IF(B122="","",IFERROR(VLOOKUP(B122,Proveedores!$B$6:$C$205,2,FALSE),""))</x:f>
      </x:c>
      <x:c r="D122" s="59"/>
      <x:c r="E122" s="73"/>
      <x:c r="F122" s="73"/>
      <x:c r="G122" s="63"/>
      <x:c r="H122" s="61" t="str">
        <x:f>IF(B122="","",IFERROR(VLOOKUP(B122,Proveedores!$B$6:$K$205,10,FALSE),""))</x:f>
      </x:c>
      <x:c r="I122" s="24"/>
      <x:c r="J122" s="24"/>
      <x:c r="K122" s="59"/>
      <x:c r="L122" s="71"/>
      <x:c r="M122" s="115" t="str">
        <x:f>IF(B122="","",IFERROR(VLOOKUP(B122,Proveedores!$B$6:$L$205,11,FALSE),1))</x:f>
      </x:c>
      <x:c r="N122" s="115" t="str">
        <x:f>IF(G122="","",G122*IF(M122="",1,M122))</x:f>
      </x:c>
    </x:row>
    <x:row r="123">
      <x:c r="A123" s="61"/>
      <x:c r="B123" s="24"/>
      <x:c r="C123" s="61" t="str">
        <x:f>IF(B123="","",IFERROR(VLOOKUP(B123,Proveedores!$B$6:$C$205,2,FALSE),""))</x:f>
      </x:c>
      <x:c r="D123" s="59"/>
      <x:c r="E123" s="73"/>
      <x:c r="F123" s="73"/>
      <x:c r="G123" s="63"/>
      <x:c r="H123" s="61" t="str">
        <x:f>IF(B123="","",IFERROR(VLOOKUP(B123,Proveedores!$B$6:$K$205,10,FALSE),""))</x:f>
      </x:c>
      <x:c r="I123" s="24"/>
      <x:c r="J123" s="24"/>
      <x:c r="K123" s="59"/>
      <x:c r="L123" s="71"/>
      <x:c r="M123" s="115" t="str">
        <x:f>IF(B123="","",IFERROR(VLOOKUP(B123,Proveedores!$B$6:$L$205,11,FALSE),1))</x:f>
      </x:c>
      <x:c r="N123" s="115" t="str">
        <x:f>IF(G123="","",G123*IF(M123="",1,M123))</x:f>
      </x:c>
    </x:row>
    <x:row r="124">
      <x:c r="A124" s="61"/>
      <x:c r="B124" s="24"/>
      <x:c r="C124" s="61" t="str">
        <x:f>IF(B124="","",IFERROR(VLOOKUP(B124,Proveedores!$B$6:$C$205,2,FALSE),""))</x:f>
      </x:c>
      <x:c r="D124" s="59"/>
      <x:c r="E124" s="73"/>
      <x:c r="F124" s="73"/>
      <x:c r="G124" s="63"/>
      <x:c r="H124" s="61" t="str">
        <x:f>IF(B124="","",IFERROR(VLOOKUP(B124,Proveedores!$B$6:$K$205,10,FALSE),""))</x:f>
      </x:c>
      <x:c r="I124" s="24"/>
      <x:c r="J124" s="24"/>
      <x:c r="K124" s="59"/>
      <x:c r="L124" s="71"/>
      <x:c r="M124" s="115" t="str">
        <x:f>IF(B124="","",IFERROR(VLOOKUP(B124,Proveedores!$B$6:$L$205,11,FALSE),1))</x:f>
      </x:c>
      <x:c r="N124" s="115" t="str">
        <x:f>IF(G124="","",G124*IF(M124="",1,M124))</x:f>
      </x:c>
    </x:row>
    <x:row r="125">
      <x:c r="A125" s="61"/>
      <x:c r="B125" s="24"/>
      <x:c r="C125" s="61" t="str">
        <x:f>IF(B125="","",IFERROR(VLOOKUP(B125,Proveedores!$B$6:$C$205,2,FALSE),""))</x:f>
      </x:c>
      <x:c r="D125" s="59"/>
      <x:c r="E125" s="73"/>
      <x:c r="F125" s="73"/>
      <x:c r="G125" s="63"/>
      <x:c r="H125" s="61" t="str">
        <x:f>IF(B125="","",IFERROR(VLOOKUP(B125,Proveedores!$B$6:$K$205,10,FALSE),""))</x:f>
      </x:c>
      <x:c r="I125" s="24"/>
      <x:c r="J125" s="24"/>
      <x:c r="K125" s="59"/>
      <x:c r="L125" s="71"/>
      <x:c r="M125" s="115" t="str">
        <x:f>IF(B125="","",IFERROR(VLOOKUP(B125,Proveedores!$B$6:$L$205,11,FALSE),1))</x:f>
      </x:c>
      <x:c r="N125" s="115" t="str">
        <x:f>IF(G125="","",G125*IF(M125="",1,M125))</x:f>
      </x:c>
    </x:row>
    <x:row r="126">
      <x:c r="A126" s="61"/>
      <x:c r="B126" s="24"/>
      <x:c r="C126" s="61" t="str">
        <x:f>IF(B126="","",IFERROR(VLOOKUP(B126,Proveedores!$B$6:$C$205,2,FALSE),""))</x:f>
      </x:c>
      <x:c r="D126" s="59"/>
      <x:c r="E126" s="73"/>
      <x:c r="F126" s="73"/>
      <x:c r="G126" s="63"/>
      <x:c r="H126" s="61" t="str">
        <x:f>IF(B126="","",IFERROR(VLOOKUP(B126,Proveedores!$B$6:$K$205,10,FALSE),""))</x:f>
      </x:c>
      <x:c r="I126" s="24"/>
      <x:c r="J126" s="24"/>
      <x:c r="K126" s="59"/>
      <x:c r="L126" s="71"/>
      <x:c r="M126" s="115" t="str">
        <x:f>IF(B126="","",IFERROR(VLOOKUP(B126,Proveedores!$B$6:$L$205,11,FALSE),1))</x:f>
      </x:c>
      <x:c r="N126" s="115" t="str">
        <x:f>IF(G126="","",G126*IF(M126="",1,M126))</x:f>
      </x:c>
    </x:row>
    <x:row r="127">
      <x:c r="A127" s="61"/>
      <x:c r="B127" s="24"/>
      <x:c r="C127" s="61" t="str">
        <x:f>IF(B127="","",IFERROR(VLOOKUP(B127,Proveedores!$B$6:$C$205,2,FALSE),""))</x:f>
      </x:c>
      <x:c r="D127" s="59"/>
      <x:c r="E127" s="73"/>
      <x:c r="F127" s="73"/>
      <x:c r="G127" s="63"/>
      <x:c r="H127" s="61" t="str">
        <x:f>IF(B127="","",IFERROR(VLOOKUP(B127,Proveedores!$B$6:$K$205,10,FALSE),""))</x:f>
      </x:c>
      <x:c r="I127" s="24"/>
      <x:c r="J127" s="24"/>
      <x:c r="K127" s="59"/>
      <x:c r="L127" s="71"/>
      <x:c r="M127" s="115" t="str">
        <x:f>IF(B127="","",IFERROR(VLOOKUP(B127,Proveedores!$B$6:$L$205,11,FALSE),1))</x:f>
      </x:c>
      <x:c r="N127" s="115" t="str">
        <x:f>IF(G127="","",G127*IF(M127="",1,M127))</x:f>
      </x:c>
    </x:row>
    <x:row r="128">
      <x:c r="A128" s="61"/>
      <x:c r="B128" s="24"/>
      <x:c r="C128" s="61" t="str">
        <x:f>IF(B128="","",IFERROR(VLOOKUP(B128,Proveedores!$B$6:$C$205,2,FALSE),""))</x:f>
      </x:c>
      <x:c r="D128" s="59"/>
      <x:c r="E128" s="73"/>
      <x:c r="F128" s="73"/>
      <x:c r="G128" s="63"/>
      <x:c r="H128" s="61" t="str">
        <x:f>IF(B128="","",IFERROR(VLOOKUP(B128,Proveedores!$B$6:$K$205,10,FALSE),""))</x:f>
      </x:c>
      <x:c r="I128" s="24"/>
      <x:c r="J128" s="24"/>
      <x:c r="K128" s="59"/>
      <x:c r="L128" s="71"/>
      <x:c r="M128" s="115" t="str">
        <x:f>IF(B128="","",IFERROR(VLOOKUP(B128,Proveedores!$B$6:$L$205,11,FALSE),1))</x:f>
      </x:c>
      <x:c r="N128" s="115" t="str">
        <x:f>IF(G128="","",G128*IF(M128="",1,M128))</x:f>
      </x:c>
    </x:row>
    <x:row r="129">
      <x:c r="A129" s="61"/>
      <x:c r="B129" s="24"/>
      <x:c r="C129" s="61" t="str">
        <x:f>IF(B129="","",IFERROR(VLOOKUP(B129,Proveedores!$B$6:$C$205,2,FALSE),""))</x:f>
      </x:c>
      <x:c r="D129" s="59"/>
      <x:c r="E129" s="73"/>
      <x:c r="F129" s="73"/>
      <x:c r="G129" s="63"/>
      <x:c r="H129" s="61" t="str">
        <x:f>IF(B129="","",IFERROR(VLOOKUP(B129,Proveedores!$B$6:$K$205,10,FALSE),""))</x:f>
      </x:c>
      <x:c r="I129" s="24"/>
      <x:c r="J129" s="24"/>
      <x:c r="K129" s="59"/>
      <x:c r="L129" s="71"/>
      <x:c r="M129" s="115" t="str">
        <x:f>IF(B129="","",IFERROR(VLOOKUP(B129,Proveedores!$B$6:$L$205,11,FALSE),1))</x:f>
      </x:c>
      <x:c r="N129" s="115" t="str">
        <x:f>IF(G129="","",G129*IF(M129="",1,M129))</x:f>
      </x:c>
    </x:row>
    <x:row r="130">
      <x:c r="A130" s="61"/>
      <x:c r="B130" s="24"/>
      <x:c r="C130" s="61" t="str">
        <x:f>IF(B130="","",IFERROR(VLOOKUP(B130,Proveedores!$B$6:$C$205,2,FALSE),""))</x:f>
      </x:c>
      <x:c r="D130" s="59"/>
      <x:c r="E130" s="73"/>
      <x:c r="F130" s="73"/>
      <x:c r="G130" s="63"/>
      <x:c r="H130" s="61" t="str">
        <x:f>IF(B130="","",IFERROR(VLOOKUP(B130,Proveedores!$B$6:$K$205,10,FALSE),""))</x:f>
      </x:c>
      <x:c r="I130" s="24"/>
      <x:c r="J130" s="24"/>
      <x:c r="K130" s="59"/>
      <x:c r="L130" s="71"/>
      <x:c r="M130" s="115" t="str">
        <x:f>IF(B130="","",IFERROR(VLOOKUP(B130,Proveedores!$B$6:$L$205,11,FALSE),1))</x:f>
      </x:c>
      <x:c r="N130" s="115" t="str">
        <x:f>IF(G130="","",G130*IF(M130="",1,M130))</x:f>
      </x:c>
    </x:row>
    <x:row r="131">
      <x:c r="A131" s="61"/>
      <x:c r="B131" s="24"/>
      <x:c r="C131" s="61" t="str">
        <x:f>IF(B131="","",IFERROR(VLOOKUP(B131,Proveedores!$B$6:$C$205,2,FALSE),""))</x:f>
      </x:c>
      <x:c r="D131" s="59"/>
      <x:c r="E131" s="73"/>
      <x:c r="F131" s="73"/>
      <x:c r="G131" s="63"/>
      <x:c r="H131" s="61" t="str">
        <x:f>IF(B131="","",IFERROR(VLOOKUP(B131,Proveedores!$B$6:$K$205,10,FALSE),""))</x:f>
      </x:c>
      <x:c r="I131" s="24"/>
      <x:c r="J131" s="24"/>
      <x:c r="K131" s="59"/>
      <x:c r="L131" s="71"/>
      <x:c r="M131" s="115" t="str">
        <x:f>IF(B131="","",IFERROR(VLOOKUP(B131,Proveedores!$B$6:$L$205,11,FALSE),1))</x:f>
      </x:c>
      <x:c r="N131" s="115" t="str">
        <x:f>IF(G131="","",G131*IF(M131="",1,M131))</x:f>
      </x:c>
    </x:row>
    <x:row r="132">
      <x:c r="A132" s="61"/>
      <x:c r="B132" s="24"/>
      <x:c r="C132" s="61" t="str">
        <x:f>IF(B132="","",IFERROR(VLOOKUP(B132,Proveedores!$B$6:$C$205,2,FALSE),""))</x:f>
      </x:c>
      <x:c r="D132" s="59"/>
      <x:c r="E132" s="73"/>
      <x:c r="F132" s="73"/>
      <x:c r="G132" s="63"/>
      <x:c r="H132" s="61" t="str">
        <x:f>IF(B132="","",IFERROR(VLOOKUP(B132,Proveedores!$B$6:$K$205,10,FALSE),""))</x:f>
      </x:c>
      <x:c r="I132" s="24"/>
      <x:c r="J132" s="24"/>
      <x:c r="K132" s="59"/>
      <x:c r="L132" s="71"/>
      <x:c r="M132" s="115" t="str">
        <x:f>IF(B132="","",IFERROR(VLOOKUP(B132,Proveedores!$B$6:$L$205,11,FALSE),1))</x:f>
      </x:c>
      <x:c r="N132" s="115" t="str">
        <x:f>IF(G132="","",G132*IF(M132="",1,M132))</x:f>
      </x:c>
    </x:row>
    <x:row r="133">
      <x:c r="A133" s="61"/>
      <x:c r="B133" s="24"/>
      <x:c r="C133" s="61" t="str">
        <x:f>IF(B133="","",IFERROR(VLOOKUP(B133,Proveedores!$B$6:$C$205,2,FALSE),""))</x:f>
      </x:c>
      <x:c r="D133" s="59"/>
      <x:c r="E133" s="73"/>
      <x:c r="F133" s="73"/>
      <x:c r="G133" s="63"/>
      <x:c r="H133" s="61" t="str">
        <x:f>IF(B133="","",IFERROR(VLOOKUP(B133,Proveedores!$B$6:$K$205,10,FALSE),""))</x:f>
      </x:c>
      <x:c r="I133" s="24"/>
      <x:c r="J133" s="24"/>
      <x:c r="K133" s="59"/>
      <x:c r="L133" s="71"/>
      <x:c r="M133" s="115" t="str">
        <x:f>IF(B133="","",IFERROR(VLOOKUP(B133,Proveedores!$B$6:$L$205,11,FALSE),1))</x:f>
      </x:c>
      <x:c r="N133" s="115" t="str">
        <x:f>IF(G133="","",G133*IF(M133="",1,M133))</x:f>
      </x:c>
    </x:row>
    <x:row r="134">
      <x:c r="A134" s="61"/>
      <x:c r="B134" s="24"/>
      <x:c r="C134" s="61" t="str">
        <x:f>IF(B134="","",IFERROR(VLOOKUP(B134,Proveedores!$B$6:$C$205,2,FALSE),""))</x:f>
      </x:c>
      <x:c r="D134" s="59"/>
      <x:c r="E134" s="73"/>
      <x:c r="F134" s="73"/>
      <x:c r="G134" s="63"/>
      <x:c r="H134" s="61" t="str">
        <x:f>IF(B134="","",IFERROR(VLOOKUP(B134,Proveedores!$B$6:$K$205,10,FALSE),""))</x:f>
      </x:c>
      <x:c r="I134" s="24"/>
      <x:c r="J134" s="24"/>
      <x:c r="K134" s="59"/>
      <x:c r="L134" s="71"/>
      <x:c r="M134" s="115" t="str">
        <x:f>IF(B134="","",IFERROR(VLOOKUP(B134,Proveedores!$B$6:$L$205,11,FALSE),1))</x:f>
      </x:c>
      <x:c r="N134" s="115" t="str">
        <x:f>IF(G134="","",G134*IF(M134="",1,M134))</x:f>
      </x:c>
    </x:row>
    <x:row r="135">
      <x:c r="A135" s="61"/>
      <x:c r="B135" s="24"/>
      <x:c r="C135" s="61" t="str">
        <x:f>IF(B135="","",IFERROR(VLOOKUP(B135,Proveedores!$B$6:$C$205,2,FALSE),""))</x:f>
      </x:c>
      <x:c r="D135" s="59"/>
      <x:c r="E135" s="73"/>
      <x:c r="F135" s="73"/>
      <x:c r="G135" s="63"/>
      <x:c r="H135" s="61" t="str">
        <x:f>IF(B135="","",IFERROR(VLOOKUP(B135,Proveedores!$B$6:$K$205,10,FALSE),""))</x:f>
      </x:c>
      <x:c r="I135" s="24"/>
      <x:c r="J135" s="24"/>
      <x:c r="K135" s="59"/>
      <x:c r="L135" s="71"/>
      <x:c r="M135" s="115" t="str">
        <x:f>IF(B135="","",IFERROR(VLOOKUP(B135,Proveedores!$B$6:$L$205,11,FALSE),1))</x:f>
      </x:c>
      <x:c r="N135" s="115" t="str">
        <x:f>IF(G135="","",G135*IF(M135="",1,M135))</x:f>
      </x:c>
    </x:row>
    <x:row r="136">
      <x:c r="A136" s="61"/>
      <x:c r="B136" s="24"/>
      <x:c r="C136" s="61" t="str">
        <x:f>IF(B136="","",IFERROR(VLOOKUP(B136,Proveedores!$B$6:$C$205,2,FALSE),""))</x:f>
      </x:c>
      <x:c r="D136" s="59"/>
      <x:c r="E136" s="73"/>
      <x:c r="F136" s="73"/>
      <x:c r="G136" s="63"/>
      <x:c r="H136" s="61" t="str">
        <x:f>IF(B136="","",IFERROR(VLOOKUP(B136,Proveedores!$B$6:$K$205,10,FALSE),""))</x:f>
      </x:c>
      <x:c r="I136" s="24"/>
      <x:c r="J136" s="24"/>
      <x:c r="K136" s="59"/>
      <x:c r="L136" s="71"/>
      <x:c r="M136" s="115" t="str">
        <x:f>IF(B136="","",IFERROR(VLOOKUP(B136,Proveedores!$B$6:$L$205,11,FALSE),1))</x:f>
      </x:c>
      <x:c r="N136" s="115" t="str">
        <x:f>IF(G136="","",G136*IF(M136="",1,M136))</x:f>
      </x:c>
    </x:row>
    <x:row r="137">
      <x:c r="A137" s="61"/>
      <x:c r="B137" s="24"/>
      <x:c r="C137" s="61" t="str">
        <x:f>IF(B137="","",IFERROR(VLOOKUP(B137,Proveedores!$B$6:$C$205,2,FALSE),""))</x:f>
      </x:c>
      <x:c r="D137" s="59"/>
      <x:c r="E137" s="73"/>
      <x:c r="F137" s="73"/>
      <x:c r="G137" s="63"/>
      <x:c r="H137" s="61" t="str">
        <x:f>IF(B137="","",IFERROR(VLOOKUP(B137,Proveedores!$B$6:$K$205,10,FALSE),""))</x:f>
      </x:c>
      <x:c r="I137" s="24"/>
      <x:c r="J137" s="24"/>
      <x:c r="K137" s="59"/>
      <x:c r="L137" s="71"/>
      <x:c r="M137" s="115" t="str">
        <x:f>IF(B137="","",IFERROR(VLOOKUP(B137,Proveedores!$B$6:$L$205,11,FALSE),1))</x:f>
      </x:c>
      <x:c r="N137" s="115" t="str">
        <x:f>IF(G137="","",G137*IF(M137="",1,M137))</x:f>
      </x:c>
    </x:row>
    <x:row r="138">
      <x:c r="A138" s="61"/>
      <x:c r="B138" s="24"/>
      <x:c r="C138" s="61" t="str">
        <x:f>IF(B138="","",IFERROR(VLOOKUP(B138,Proveedores!$B$6:$C$205,2,FALSE),""))</x:f>
      </x:c>
      <x:c r="D138" s="59"/>
      <x:c r="E138" s="73"/>
      <x:c r="F138" s="73"/>
      <x:c r="G138" s="63"/>
      <x:c r="H138" s="61" t="str">
        <x:f>IF(B138="","",IFERROR(VLOOKUP(B138,Proveedores!$B$6:$K$205,10,FALSE),""))</x:f>
      </x:c>
      <x:c r="I138" s="24"/>
      <x:c r="J138" s="24"/>
      <x:c r="K138" s="59"/>
      <x:c r="L138" s="71"/>
      <x:c r="M138" s="115" t="str">
        <x:f>IF(B138="","",IFERROR(VLOOKUP(B138,Proveedores!$B$6:$L$205,11,FALSE),1))</x:f>
      </x:c>
      <x:c r="N138" s="115" t="str">
        <x:f>IF(G138="","",G138*IF(M138="",1,M138))</x:f>
      </x:c>
    </x:row>
    <x:row r="139">
      <x:c r="A139" s="61"/>
      <x:c r="B139" s="24"/>
      <x:c r="C139" s="61" t="str">
        <x:f>IF(B139="","",IFERROR(VLOOKUP(B139,Proveedores!$B$6:$C$205,2,FALSE),""))</x:f>
      </x:c>
      <x:c r="D139" s="59"/>
      <x:c r="E139" s="73"/>
      <x:c r="F139" s="73"/>
      <x:c r="G139" s="63"/>
      <x:c r="H139" s="61" t="str">
        <x:f>IF(B139="","",IFERROR(VLOOKUP(B139,Proveedores!$B$6:$K$205,10,FALSE),""))</x:f>
      </x:c>
      <x:c r="I139" s="24"/>
      <x:c r="J139" s="24"/>
      <x:c r="K139" s="59"/>
      <x:c r="L139" s="71"/>
      <x:c r="M139" s="115" t="str">
        <x:f>IF(B139="","",IFERROR(VLOOKUP(B139,Proveedores!$B$6:$L$205,11,FALSE),1))</x:f>
      </x:c>
      <x:c r="N139" s="115" t="str">
        <x:f>IF(G139="","",G139*IF(M139="",1,M139))</x:f>
      </x:c>
    </x:row>
    <x:row r="140">
      <x:c r="A140" s="61"/>
      <x:c r="B140" s="24"/>
      <x:c r="C140" s="61" t="str">
        <x:f>IF(B140="","",IFERROR(VLOOKUP(B140,Proveedores!$B$6:$C$205,2,FALSE),""))</x:f>
      </x:c>
      <x:c r="D140" s="59"/>
      <x:c r="E140" s="73"/>
      <x:c r="F140" s="73"/>
      <x:c r="G140" s="63"/>
      <x:c r="H140" s="61" t="str">
        <x:f>IF(B140="","",IFERROR(VLOOKUP(B140,Proveedores!$B$6:$K$205,10,FALSE),""))</x:f>
      </x:c>
      <x:c r="I140" s="24"/>
      <x:c r="J140" s="24"/>
      <x:c r="K140" s="59"/>
      <x:c r="L140" s="71"/>
      <x:c r="M140" s="115" t="str">
        <x:f>IF(B140="","",IFERROR(VLOOKUP(B140,Proveedores!$B$6:$L$205,11,FALSE),1))</x:f>
      </x:c>
      <x:c r="N140" s="115" t="str">
        <x:f>IF(G140="","",G140*IF(M140="",1,M140))</x:f>
      </x:c>
    </x:row>
    <x:row r="141">
      <x:c r="A141" s="61"/>
      <x:c r="B141" s="24"/>
      <x:c r="C141" s="61" t="str">
        <x:f>IF(B141="","",IFERROR(VLOOKUP(B141,Proveedores!$B$6:$C$205,2,FALSE),""))</x:f>
      </x:c>
      <x:c r="D141" s="59"/>
      <x:c r="E141" s="73"/>
      <x:c r="F141" s="73"/>
      <x:c r="G141" s="63"/>
      <x:c r="H141" s="61" t="str">
        <x:f>IF(B141="","",IFERROR(VLOOKUP(B141,Proveedores!$B$6:$K$205,10,FALSE),""))</x:f>
      </x:c>
      <x:c r="I141" s="24"/>
      <x:c r="J141" s="24"/>
      <x:c r="K141" s="59"/>
      <x:c r="L141" s="71"/>
      <x:c r="M141" s="115" t="str">
        <x:f>IF(B141="","",IFERROR(VLOOKUP(B141,Proveedores!$B$6:$L$205,11,FALSE),1))</x:f>
      </x:c>
      <x:c r="N141" s="115" t="str">
        <x:f>IF(G141="","",G141*IF(M141="",1,M141))</x:f>
      </x:c>
    </x:row>
    <x:row r="142">
      <x:c r="A142" s="61"/>
      <x:c r="B142" s="24"/>
      <x:c r="C142" s="61" t="str">
        <x:f>IF(B142="","",IFERROR(VLOOKUP(B142,Proveedores!$B$6:$C$205,2,FALSE),""))</x:f>
      </x:c>
      <x:c r="D142" s="59"/>
      <x:c r="E142" s="73"/>
      <x:c r="F142" s="73"/>
      <x:c r="G142" s="63"/>
      <x:c r="H142" s="61" t="str">
        <x:f>IF(B142="","",IFERROR(VLOOKUP(B142,Proveedores!$B$6:$K$205,10,FALSE),""))</x:f>
      </x:c>
      <x:c r="I142" s="24"/>
      <x:c r="J142" s="24"/>
      <x:c r="K142" s="59"/>
      <x:c r="L142" s="71"/>
      <x:c r="M142" s="115" t="str">
        <x:f>IF(B142="","",IFERROR(VLOOKUP(B142,Proveedores!$B$6:$L$205,11,FALSE),1))</x:f>
      </x:c>
      <x:c r="N142" s="115" t="str">
        <x:f>IF(G142="","",G142*IF(M142="",1,M142))</x:f>
      </x:c>
    </x:row>
    <x:row r="143">
      <x:c r="A143" s="61"/>
      <x:c r="B143" s="24"/>
      <x:c r="C143" s="61" t="str">
        <x:f>IF(B143="","",IFERROR(VLOOKUP(B143,Proveedores!$B$6:$C$205,2,FALSE),""))</x:f>
      </x:c>
      <x:c r="D143" s="59"/>
      <x:c r="E143" s="73"/>
      <x:c r="F143" s="73"/>
      <x:c r="G143" s="63"/>
      <x:c r="H143" s="61" t="str">
        <x:f>IF(B143="","",IFERROR(VLOOKUP(B143,Proveedores!$B$6:$K$205,10,FALSE),""))</x:f>
      </x:c>
      <x:c r="I143" s="24"/>
      <x:c r="J143" s="24"/>
      <x:c r="K143" s="59"/>
      <x:c r="L143" s="71"/>
      <x:c r="M143" s="115" t="str">
        <x:f>IF(B143="","",IFERROR(VLOOKUP(B143,Proveedores!$B$6:$L$205,11,FALSE),1))</x:f>
      </x:c>
      <x:c r="N143" s="115" t="str">
        <x:f>IF(G143="","",G143*IF(M143="",1,M143))</x:f>
      </x:c>
    </x:row>
    <x:row r="144">
      <x:c r="A144" s="61"/>
      <x:c r="B144" s="24"/>
      <x:c r="C144" s="61" t="str">
        <x:f>IF(B144="","",IFERROR(VLOOKUP(B144,Proveedores!$B$6:$C$205,2,FALSE),""))</x:f>
      </x:c>
      <x:c r="D144" s="59"/>
      <x:c r="E144" s="73"/>
      <x:c r="F144" s="73"/>
      <x:c r="G144" s="63"/>
      <x:c r="H144" s="61" t="str">
        <x:f>IF(B144="","",IFERROR(VLOOKUP(B144,Proveedores!$B$6:$K$205,10,FALSE),""))</x:f>
      </x:c>
      <x:c r="I144" s="24"/>
      <x:c r="J144" s="24"/>
      <x:c r="K144" s="59"/>
      <x:c r="L144" s="71"/>
      <x:c r="M144" s="115" t="str">
        <x:f>IF(B144="","",IFERROR(VLOOKUP(B144,Proveedores!$B$6:$L$205,11,FALSE),1))</x:f>
      </x:c>
      <x:c r="N144" s="115" t="str">
        <x:f>IF(G144="","",G144*IF(M144="",1,M144))</x:f>
      </x:c>
    </x:row>
    <x:row r="145">
      <x:c r="A145" s="61"/>
      <x:c r="B145" s="24"/>
      <x:c r="C145" s="61" t="str">
        <x:f>IF(B145="","",IFERROR(VLOOKUP(B145,Proveedores!$B$6:$C$205,2,FALSE),""))</x:f>
      </x:c>
      <x:c r="D145" s="59"/>
      <x:c r="E145" s="73"/>
      <x:c r="F145" s="73"/>
      <x:c r="G145" s="63"/>
      <x:c r="H145" s="61" t="str">
        <x:f>IF(B145="","",IFERROR(VLOOKUP(B145,Proveedores!$B$6:$K$205,10,FALSE),""))</x:f>
      </x:c>
      <x:c r="I145" s="24"/>
      <x:c r="J145" s="24"/>
      <x:c r="K145" s="59"/>
      <x:c r="L145" s="71"/>
      <x:c r="M145" s="115" t="str">
        <x:f>IF(B145="","",IFERROR(VLOOKUP(B145,Proveedores!$B$6:$L$205,11,FALSE),1))</x:f>
      </x:c>
      <x:c r="N145" s="115" t="str">
        <x:f>IF(G145="","",G145*IF(M145="",1,M145))</x:f>
      </x:c>
    </x:row>
    <x:row r="146">
      <x:c r="A146" s="61"/>
      <x:c r="B146" s="24"/>
      <x:c r="C146" s="61" t="str">
        <x:f>IF(B146="","",IFERROR(VLOOKUP(B146,Proveedores!$B$6:$C$205,2,FALSE),""))</x:f>
      </x:c>
      <x:c r="D146" s="59"/>
      <x:c r="E146" s="73"/>
      <x:c r="F146" s="73"/>
      <x:c r="G146" s="63"/>
      <x:c r="H146" s="61" t="str">
        <x:f>IF(B146="","",IFERROR(VLOOKUP(B146,Proveedores!$B$6:$K$205,10,FALSE),""))</x:f>
      </x:c>
      <x:c r="I146" s="24"/>
      <x:c r="J146" s="24"/>
      <x:c r="K146" s="59"/>
      <x:c r="L146" s="71"/>
      <x:c r="M146" s="115" t="str">
        <x:f>IF(B146="","",IFERROR(VLOOKUP(B146,Proveedores!$B$6:$L$205,11,FALSE),1))</x:f>
      </x:c>
      <x:c r="N146" s="115" t="str">
        <x:f>IF(G146="","",G146*IF(M146="",1,M146))</x:f>
      </x:c>
    </x:row>
    <x:row r="147">
      <x:c r="A147" s="61"/>
      <x:c r="B147" s="24"/>
      <x:c r="C147" s="61" t="str">
        <x:f>IF(B147="","",IFERROR(VLOOKUP(B147,Proveedores!$B$6:$C$205,2,FALSE),""))</x:f>
      </x:c>
      <x:c r="D147" s="59"/>
      <x:c r="E147" s="73"/>
      <x:c r="F147" s="73"/>
      <x:c r="G147" s="63"/>
      <x:c r="H147" s="61" t="str">
        <x:f>IF(B147="","",IFERROR(VLOOKUP(B147,Proveedores!$B$6:$K$205,10,FALSE),""))</x:f>
      </x:c>
      <x:c r="I147" s="24"/>
      <x:c r="J147" s="24"/>
      <x:c r="K147" s="59"/>
      <x:c r="L147" s="71"/>
      <x:c r="M147" s="115" t="str">
        <x:f>IF(B147="","",IFERROR(VLOOKUP(B147,Proveedores!$B$6:$L$205,11,FALSE),1))</x:f>
      </x:c>
      <x:c r="N147" s="115" t="str">
        <x:f>IF(G147="","",G147*IF(M147="",1,M147))</x:f>
      </x:c>
    </x:row>
    <x:row r="148">
      <x:c r="A148" s="61"/>
      <x:c r="B148" s="24"/>
      <x:c r="C148" s="61" t="str">
        <x:f>IF(B148="","",IFERROR(VLOOKUP(B148,Proveedores!$B$6:$C$205,2,FALSE),""))</x:f>
      </x:c>
      <x:c r="D148" s="59"/>
      <x:c r="E148" s="73"/>
      <x:c r="F148" s="73"/>
      <x:c r="G148" s="63"/>
      <x:c r="H148" s="61" t="str">
        <x:f>IF(B148="","",IFERROR(VLOOKUP(B148,Proveedores!$B$6:$K$205,10,FALSE),""))</x:f>
      </x:c>
      <x:c r="I148" s="24"/>
      <x:c r="J148" s="24"/>
      <x:c r="K148" s="59"/>
      <x:c r="L148" s="71"/>
      <x:c r="M148" s="115" t="str">
        <x:f>IF(B148="","",IFERROR(VLOOKUP(B148,Proveedores!$B$6:$L$205,11,FALSE),1))</x:f>
      </x:c>
      <x:c r="N148" s="115" t="str">
        <x:f>IF(G148="","",G148*IF(M148="",1,M148))</x:f>
      </x:c>
    </x:row>
    <x:row r="149">
      <x:c r="A149" s="61"/>
      <x:c r="B149" s="24"/>
      <x:c r="C149" s="61" t="str">
        <x:f>IF(B149="","",IFERROR(VLOOKUP(B149,Proveedores!$B$6:$C$205,2,FALSE),""))</x:f>
      </x:c>
      <x:c r="D149" s="59"/>
      <x:c r="E149" s="73"/>
      <x:c r="F149" s="73"/>
      <x:c r="G149" s="63"/>
      <x:c r="H149" s="61" t="str">
        <x:f>IF(B149="","",IFERROR(VLOOKUP(B149,Proveedores!$B$6:$K$205,10,FALSE),""))</x:f>
      </x:c>
      <x:c r="I149" s="24"/>
      <x:c r="J149" s="24"/>
      <x:c r="K149" s="59"/>
      <x:c r="L149" s="71"/>
      <x:c r="M149" s="115" t="str">
        <x:f>IF(B149="","",IFERROR(VLOOKUP(B149,Proveedores!$B$6:$L$205,11,FALSE),1))</x:f>
      </x:c>
      <x:c r="N149" s="115" t="str">
        <x:f>IF(G149="","",G149*IF(M149="",1,M149))</x:f>
      </x:c>
    </x:row>
    <x:row r="150">
      <x:c r="A150" s="61"/>
      <x:c r="B150" s="24"/>
      <x:c r="C150" s="61" t="str">
        <x:f>IF(B150="","",IFERROR(VLOOKUP(B150,Proveedores!$B$6:$C$205,2,FALSE),""))</x:f>
      </x:c>
      <x:c r="D150" s="59"/>
      <x:c r="E150" s="73"/>
      <x:c r="F150" s="73"/>
      <x:c r="G150" s="63"/>
      <x:c r="H150" s="61" t="str">
        <x:f>IF(B150="","",IFERROR(VLOOKUP(B150,Proveedores!$B$6:$K$205,10,FALSE),""))</x:f>
      </x:c>
      <x:c r="I150" s="24"/>
      <x:c r="J150" s="24"/>
      <x:c r="K150" s="59"/>
      <x:c r="L150" s="71"/>
      <x:c r="M150" s="115" t="str">
        <x:f>IF(B150="","",IFERROR(VLOOKUP(B150,Proveedores!$B$6:$L$205,11,FALSE),1))</x:f>
      </x:c>
      <x:c r="N150" s="115" t="str">
        <x:f>IF(G150="","",G150*IF(M150="",1,M150))</x:f>
      </x:c>
    </x:row>
    <x:row r="151">
      <x:c r="A151" s="61"/>
      <x:c r="B151" s="24"/>
      <x:c r="C151" s="61" t="str">
        <x:f>IF(B151="","",IFERROR(VLOOKUP(B151,Proveedores!$B$6:$C$205,2,FALSE),""))</x:f>
      </x:c>
      <x:c r="D151" s="59"/>
      <x:c r="E151" s="73"/>
      <x:c r="F151" s="73"/>
      <x:c r="G151" s="63"/>
      <x:c r="H151" s="61" t="str">
        <x:f>IF(B151="","",IFERROR(VLOOKUP(B151,Proveedores!$B$6:$K$205,10,FALSE),""))</x:f>
      </x:c>
      <x:c r="I151" s="24"/>
      <x:c r="J151" s="24"/>
      <x:c r="K151" s="59"/>
      <x:c r="L151" s="71"/>
      <x:c r="M151" s="115" t="str">
        <x:f>IF(B151="","",IFERROR(VLOOKUP(B151,Proveedores!$B$6:$L$205,11,FALSE),1))</x:f>
      </x:c>
      <x:c r="N151" s="115" t="str">
        <x:f>IF(G151="","",G151*IF(M151="",1,M151))</x:f>
      </x:c>
    </x:row>
    <x:row r="152">
      <x:c r="A152" s="61"/>
      <x:c r="B152" s="24"/>
      <x:c r="C152" s="61" t="str">
        <x:f>IF(B152="","",IFERROR(VLOOKUP(B152,Proveedores!$B$6:$C$205,2,FALSE),""))</x:f>
      </x:c>
      <x:c r="D152" s="59"/>
      <x:c r="E152" s="73"/>
      <x:c r="F152" s="73"/>
      <x:c r="G152" s="63"/>
      <x:c r="H152" s="61" t="str">
        <x:f>IF(B152="","",IFERROR(VLOOKUP(B152,Proveedores!$B$6:$K$205,10,FALSE),""))</x:f>
      </x:c>
      <x:c r="I152" s="24"/>
      <x:c r="J152" s="24"/>
      <x:c r="K152" s="59"/>
      <x:c r="L152" s="71"/>
      <x:c r="M152" s="115" t="str">
        <x:f>IF(B152="","",IFERROR(VLOOKUP(B152,Proveedores!$B$6:$L$205,11,FALSE),1))</x:f>
      </x:c>
      <x:c r="N152" s="115" t="str">
        <x:f>IF(G152="","",G152*IF(M152="",1,M152))</x:f>
      </x:c>
    </x:row>
    <x:row r="153">
      <x:c r="A153" s="61"/>
      <x:c r="B153" s="24"/>
      <x:c r="C153" s="61" t="str">
        <x:f>IF(B153="","",IFERROR(VLOOKUP(B153,Proveedores!$B$6:$C$205,2,FALSE),""))</x:f>
      </x:c>
      <x:c r="D153" s="59"/>
      <x:c r="E153" s="73"/>
      <x:c r="F153" s="73"/>
      <x:c r="G153" s="63"/>
      <x:c r="H153" s="61" t="str">
        <x:f>IF(B153="","",IFERROR(VLOOKUP(B153,Proveedores!$B$6:$K$205,10,FALSE),""))</x:f>
      </x:c>
      <x:c r="I153" s="24"/>
      <x:c r="J153" s="24"/>
      <x:c r="K153" s="59"/>
      <x:c r="L153" s="71"/>
      <x:c r="M153" s="115" t="str">
        <x:f>IF(B153="","",IFERROR(VLOOKUP(B153,Proveedores!$B$6:$L$205,11,FALSE),1))</x:f>
      </x:c>
      <x:c r="N153" s="115" t="str">
        <x:f>IF(G153="","",G153*IF(M153="",1,M153))</x:f>
      </x:c>
    </x:row>
    <x:row r="154">
      <x:c r="A154" s="61"/>
      <x:c r="B154" s="24"/>
      <x:c r="C154" s="61" t="str">
        <x:f>IF(B154="","",IFERROR(VLOOKUP(B154,Proveedores!$B$6:$C$205,2,FALSE),""))</x:f>
      </x:c>
      <x:c r="D154" s="59"/>
      <x:c r="E154" s="73"/>
      <x:c r="F154" s="73"/>
      <x:c r="G154" s="63"/>
      <x:c r="H154" s="61" t="str">
        <x:f>IF(B154="","",IFERROR(VLOOKUP(B154,Proveedores!$B$6:$K$205,10,FALSE),""))</x:f>
      </x:c>
      <x:c r="I154" s="24"/>
      <x:c r="J154" s="24"/>
      <x:c r="K154" s="59"/>
      <x:c r="L154" s="71"/>
      <x:c r="M154" s="115" t="str">
        <x:f>IF(B154="","",IFERROR(VLOOKUP(B154,Proveedores!$B$6:$L$205,11,FALSE),1))</x:f>
      </x:c>
      <x:c r="N154" s="115" t="str">
        <x:f>IF(G154="","",G154*IF(M154="",1,M154))</x:f>
      </x:c>
    </x:row>
    <x:row r="155">
      <x:c r="A155" s="61"/>
      <x:c r="B155" s="24"/>
      <x:c r="C155" s="61" t="str">
        <x:f>IF(B155="","",IFERROR(VLOOKUP(B155,Proveedores!$B$6:$C$205,2,FALSE),""))</x:f>
      </x:c>
      <x:c r="D155" s="59"/>
      <x:c r="E155" s="73"/>
      <x:c r="F155" s="73"/>
      <x:c r="G155" s="63"/>
      <x:c r="H155" s="61" t="str">
        <x:f>IF(B155="","",IFERROR(VLOOKUP(B155,Proveedores!$B$6:$K$205,10,FALSE),""))</x:f>
      </x:c>
      <x:c r="I155" s="24"/>
      <x:c r="J155" s="24"/>
      <x:c r="K155" s="59"/>
      <x:c r="L155" s="71"/>
      <x:c r="M155" s="115" t="str">
        <x:f>IF(B155="","",IFERROR(VLOOKUP(B155,Proveedores!$B$6:$L$205,11,FALSE),1))</x:f>
      </x:c>
      <x:c r="N155" s="115" t="str">
        <x:f>IF(G155="","",G155*IF(M155="",1,M155))</x:f>
      </x:c>
    </x:row>
    <x:row r="156">
      <x:c r="A156" s="61"/>
      <x:c r="B156" s="24"/>
      <x:c r="C156" s="61" t="str">
        <x:f>IF(B156="","",IFERROR(VLOOKUP(B156,Proveedores!$B$6:$C$205,2,FALSE),""))</x:f>
      </x:c>
      <x:c r="D156" s="59"/>
      <x:c r="E156" s="73"/>
      <x:c r="F156" s="73"/>
      <x:c r="G156" s="63"/>
      <x:c r="H156" s="61" t="str">
        <x:f>IF(B156="","",IFERROR(VLOOKUP(B156,Proveedores!$B$6:$K$205,10,FALSE),""))</x:f>
      </x:c>
      <x:c r="I156" s="24"/>
      <x:c r="J156" s="24"/>
      <x:c r="K156" s="59"/>
      <x:c r="L156" s="71"/>
      <x:c r="M156" s="115" t="str">
        <x:f>IF(B156="","",IFERROR(VLOOKUP(B156,Proveedores!$B$6:$L$205,11,FALSE),1))</x:f>
      </x:c>
      <x:c r="N156" s="115" t="str">
        <x:f>IF(G156="","",G156*IF(M156="",1,M156))</x:f>
      </x:c>
    </x:row>
    <x:row r="157">
      <x:c r="A157" s="61"/>
      <x:c r="B157" s="24"/>
      <x:c r="C157" s="61" t="str">
        <x:f>IF(B157="","",IFERROR(VLOOKUP(B157,Proveedores!$B$6:$C$205,2,FALSE),""))</x:f>
      </x:c>
      <x:c r="D157" s="59"/>
      <x:c r="E157" s="73"/>
      <x:c r="F157" s="73"/>
      <x:c r="G157" s="63"/>
      <x:c r="H157" s="61" t="str">
        <x:f>IF(B157="","",IFERROR(VLOOKUP(B157,Proveedores!$B$6:$K$205,10,FALSE),""))</x:f>
      </x:c>
      <x:c r="I157" s="24"/>
      <x:c r="J157" s="24"/>
      <x:c r="K157" s="59"/>
      <x:c r="L157" s="71"/>
      <x:c r="M157" s="115" t="str">
        <x:f>IF(B157="","",IFERROR(VLOOKUP(B157,Proveedores!$B$6:$L$205,11,FALSE),1))</x:f>
      </x:c>
      <x:c r="N157" s="115" t="str">
        <x:f>IF(G157="","",G157*IF(M157="",1,M157))</x:f>
      </x:c>
    </x:row>
    <x:row r="158">
      <x:c r="A158" s="61"/>
      <x:c r="B158" s="24"/>
      <x:c r="C158" s="61" t="str">
        <x:f>IF(B158="","",IFERROR(VLOOKUP(B158,Proveedores!$B$6:$C$205,2,FALSE),""))</x:f>
      </x:c>
      <x:c r="D158" s="59"/>
      <x:c r="E158" s="73"/>
      <x:c r="F158" s="73"/>
      <x:c r="G158" s="63"/>
      <x:c r="H158" s="61" t="str">
        <x:f>IF(B158="","",IFERROR(VLOOKUP(B158,Proveedores!$B$6:$K$205,10,FALSE),""))</x:f>
      </x:c>
      <x:c r="I158" s="24"/>
      <x:c r="J158" s="24"/>
      <x:c r="K158" s="59"/>
      <x:c r="L158" s="71"/>
      <x:c r="M158" s="115" t="str">
        <x:f>IF(B158="","",IFERROR(VLOOKUP(B158,Proveedores!$B$6:$L$205,11,FALSE),1))</x:f>
      </x:c>
      <x:c r="N158" s="115" t="str">
        <x:f>IF(G158="","",G158*IF(M158="",1,M158))</x:f>
      </x:c>
    </x:row>
    <x:row r="159">
      <x:c r="A159" s="61"/>
      <x:c r="B159" s="24"/>
      <x:c r="C159" s="61" t="str">
        <x:f>IF(B159="","",IFERROR(VLOOKUP(B159,Proveedores!$B$6:$C$205,2,FALSE),""))</x:f>
      </x:c>
      <x:c r="D159" s="59"/>
      <x:c r="E159" s="73"/>
      <x:c r="F159" s="73"/>
      <x:c r="G159" s="63"/>
      <x:c r="H159" s="61" t="str">
        <x:f>IF(B159="","",IFERROR(VLOOKUP(B159,Proveedores!$B$6:$K$205,10,FALSE),""))</x:f>
      </x:c>
      <x:c r="I159" s="24"/>
      <x:c r="J159" s="24"/>
      <x:c r="K159" s="59"/>
      <x:c r="L159" s="71"/>
      <x:c r="M159" s="115" t="str">
        <x:f>IF(B159="","",IFERROR(VLOOKUP(B159,Proveedores!$B$6:$L$205,11,FALSE),1))</x:f>
      </x:c>
      <x:c r="N159" s="115" t="str">
        <x:f>IF(G159="","",G159*IF(M159="",1,M159))</x:f>
      </x:c>
    </x:row>
    <x:row r="160">
      <x:c r="A160" s="61"/>
      <x:c r="B160" s="24"/>
      <x:c r="C160" s="61" t="str">
        <x:f>IF(B160="","",IFERROR(VLOOKUP(B160,Proveedores!$B$6:$C$205,2,FALSE),""))</x:f>
      </x:c>
      <x:c r="D160" s="59"/>
      <x:c r="E160" s="73"/>
      <x:c r="F160" s="73"/>
      <x:c r="G160" s="63"/>
      <x:c r="H160" s="61" t="str">
        <x:f>IF(B160="","",IFERROR(VLOOKUP(B160,Proveedores!$B$6:$K$205,10,FALSE),""))</x:f>
      </x:c>
      <x:c r="I160" s="24"/>
      <x:c r="J160" s="24"/>
      <x:c r="K160" s="59"/>
      <x:c r="L160" s="71"/>
      <x:c r="M160" s="115" t="str">
        <x:f>IF(B160="","",IFERROR(VLOOKUP(B160,Proveedores!$B$6:$L$205,11,FALSE),1))</x:f>
      </x:c>
      <x:c r="N160" s="115" t="str">
        <x:f>IF(G160="","",G160*IF(M160="",1,M160))</x:f>
      </x:c>
    </x:row>
    <x:row r="161">
      <x:c r="A161" s="61"/>
      <x:c r="B161" s="24"/>
      <x:c r="C161" s="61" t="str">
        <x:f>IF(B161="","",IFERROR(VLOOKUP(B161,Proveedores!$B$6:$C$205,2,FALSE),""))</x:f>
      </x:c>
      <x:c r="D161" s="59"/>
      <x:c r="E161" s="73"/>
      <x:c r="F161" s="73"/>
      <x:c r="G161" s="63"/>
      <x:c r="H161" s="61" t="str">
        <x:f>IF(B161="","",IFERROR(VLOOKUP(B161,Proveedores!$B$6:$K$205,10,FALSE),""))</x:f>
      </x:c>
      <x:c r="I161" s="24"/>
      <x:c r="J161" s="24"/>
      <x:c r="K161" s="59"/>
      <x:c r="L161" s="71"/>
      <x:c r="M161" s="115" t="str">
        <x:f>IF(B161="","",IFERROR(VLOOKUP(B161,Proveedores!$B$6:$L$205,11,FALSE),1))</x:f>
      </x:c>
      <x:c r="N161" s="115" t="str">
        <x:f>IF(G161="","",G161*IF(M161="",1,M161))</x:f>
      </x:c>
    </x:row>
    <x:row r="162">
      <x:c r="A162" s="61"/>
      <x:c r="B162" s="24"/>
      <x:c r="C162" s="61" t="str">
        <x:f>IF(B162="","",IFERROR(VLOOKUP(B162,Proveedores!$B$6:$C$205,2,FALSE),""))</x:f>
      </x:c>
      <x:c r="D162" s="59"/>
      <x:c r="E162" s="73"/>
      <x:c r="F162" s="73"/>
      <x:c r="G162" s="63"/>
      <x:c r="H162" s="61" t="str">
        <x:f>IF(B162="","",IFERROR(VLOOKUP(B162,Proveedores!$B$6:$K$205,10,FALSE),""))</x:f>
      </x:c>
      <x:c r="I162" s="24"/>
      <x:c r="J162" s="24"/>
      <x:c r="K162" s="59"/>
      <x:c r="L162" s="71"/>
      <x:c r="M162" s="115" t="str">
        <x:f>IF(B162="","",IFERROR(VLOOKUP(B162,Proveedores!$B$6:$L$205,11,FALSE),1))</x:f>
      </x:c>
      <x:c r="N162" s="115" t="str">
        <x:f>IF(G162="","",G162*IF(M162="",1,M162))</x:f>
      </x:c>
    </x:row>
    <x:row r="163">
      <x:c r="A163" s="61"/>
      <x:c r="B163" s="24"/>
      <x:c r="C163" s="61" t="str">
        <x:f>IF(B163="","",IFERROR(VLOOKUP(B163,Proveedores!$B$6:$C$205,2,FALSE),""))</x:f>
      </x:c>
      <x:c r="D163" s="59"/>
      <x:c r="E163" s="73"/>
      <x:c r="F163" s="73"/>
      <x:c r="G163" s="63"/>
      <x:c r="H163" s="61" t="str">
        <x:f>IF(B163="","",IFERROR(VLOOKUP(B163,Proveedores!$B$6:$K$205,10,FALSE),""))</x:f>
      </x:c>
      <x:c r="I163" s="24"/>
      <x:c r="J163" s="24"/>
      <x:c r="K163" s="59"/>
      <x:c r="L163" s="71"/>
      <x:c r="M163" s="115" t="str">
        <x:f>IF(B163="","",IFERROR(VLOOKUP(B163,Proveedores!$B$6:$L$205,11,FALSE),1))</x:f>
      </x:c>
      <x:c r="N163" s="115" t="str">
        <x:f>IF(G163="","",G163*IF(M163="",1,M163))</x:f>
      </x:c>
    </x:row>
    <x:row r="164">
      <x:c r="A164" s="61"/>
      <x:c r="B164" s="24"/>
      <x:c r="C164" s="61" t="str">
        <x:f>IF(B164="","",IFERROR(VLOOKUP(B164,Proveedores!$B$6:$C$205,2,FALSE),""))</x:f>
      </x:c>
      <x:c r="D164" s="59"/>
      <x:c r="E164" s="73"/>
      <x:c r="F164" s="73"/>
      <x:c r="G164" s="63"/>
      <x:c r="H164" s="61" t="str">
        <x:f>IF(B164="","",IFERROR(VLOOKUP(B164,Proveedores!$B$6:$K$205,10,FALSE),""))</x:f>
      </x:c>
      <x:c r="I164" s="24"/>
      <x:c r="J164" s="24"/>
      <x:c r="K164" s="59"/>
      <x:c r="L164" s="71"/>
      <x:c r="M164" s="115" t="str">
        <x:f>IF(B164="","",IFERROR(VLOOKUP(B164,Proveedores!$B$6:$L$205,11,FALSE),1))</x:f>
      </x:c>
      <x:c r="N164" s="115" t="str">
        <x:f>IF(G164="","",G164*IF(M164="",1,M164))</x:f>
      </x:c>
    </x:row>
    <x:row r="165">
      <x:c r="A165" s="61"/>
      <x:c r="B165" s="24"/>
      <x:c r="C165" s="61" t="str">
        <x:f>IF(B165="","",IFERROR(VLOOKUP(B165,Proveedores!$B$6:$C$205,2,FALSE),""))</x:f>
      </x:c>
      <x:c r="D165" s="59"/>
      <x:c r="E165" s="73"/>
      <x:c r="F165" s="73"/>
      <x:c r="G165" s="63"/>
      <x:c r="H165" s="61" t="str">
        <x:f>IF(B165="","",IFERROR(VLOOKUP(B165,Proveedores!$B$6:$K$205,10,FALSE),""))</x:f>
      </x:c>
      <x:c r="I165" s="24"/>
      <x:c r="J165" s="24"/>
      <x:c r="K165" s="59"/>
      <x:c r="L165" s="71"/>
      <x:c r="M165" s="115" t="str">
        <x:f>IF(B165="","",IFERROR(VLOOKUP(B165,Proveedores!$B$6:$L$205,11,FALSE),1))</x:f>
      </x:c>
      <x:c r="N165" s="115" t="str">
        <x:f>IF(G165="","",G165*IF(M165="",1,M165))</x:f>
      </x:c>
    </x:row>
    <x:row r="166">
      <x:c r="A166" s="61"/>
      <x:c r="B166" s="24"/>
      <x:c r="C166" s="61" t="str">
        <x:f>IF(B166="","",IFERROR(VLOOKUP(B166,Proveedores!$B$6:$C$205,2,FALSE),""))</x:f>
      </x:c>
      <x:c r="D166" s="59"/>
      <x:c r="E166" s="73"/>
      <x:c r="F166" s="73"/>
      <x:c r="G166" s="63"/>
      <x:c r="H166" s="61" t="str">
        <x:f>IF(B166="","",IFERROR(VLOOKUP(B166,Proveedores!$B$6:$K$205,10,FALSE),""))</x:f>
      </x:c>
      <x:c r="I166" s="24"/>
      <x:c r="J166" s="24"/>
      <x:c r="K166" s="59"/>
      <x:c r="L166" s="71"/>
      <x:c r="M166" s="115" t="str">
        <x:f>IF(B166="","",IFERROR(VLOOKUP(B166,Proveedores!$B$6:$L$205,11,FALSE),1))</x:f>
      </x:c>
      <x:c r="N166" s="115" t="str">
        <x:f>IF(G166="","",G166*IF(M166="",1,M166))</x:f>
      </x:c>
    </x:row>
    <x:row r="167">
      <x:c r="A167" s="61"/>
      <x:c r="B167" s="24"/>
      <x:c r="C167" s="61" t="str">
        <x:f>IF(B167="","",IFERROR(VLOOKUP(B167,Proveedores!$B$6:$C$205,2,FALSE),""))</x:f>
      </x:c>
      <x:c r="D167" s="59"/>
      <x:c r="E167" s="73"/>
      <x:c r="F167" s="73"/>
      <x:c r="G167" s="63"/>
      <x:c r="H167" s="61" t="str">
        <x:f>IF(B167="","",IFERROR(VLOOKUP(B167,Proveedores!$B$6:$K$205,10,FALSE),""))</x:f>
      </x:c>
      <x:c r="I167" s="24"/>
      <x:c r="J167" s="24"/>
      <x:c r="K167" s="59"/>
      <x:c r="L167" s="71"/>
      <x:c r="M167" s="115" t="str">
        <x:f>IF(B167="","",IFERROR(VLOOKUP(B167,Proveedores!$B$6:$L$205,11,FALSE),1))</x:f>
      </x:c>
      <x:c r="N167" s="115" t="str">
        <x:f>IF(G167="","",G167*IF(M167="",1,M167))</x:f>
      </x:c>
    </x:row>
    <x:row r="168">
      <x:c r="A168" s="61"/>
      <x:c r="B168" s="24"/>
      <x:c r="C168" s="61" t="str">
        <x:f>IF(B168="","",IFERROR(VLOOKUP(B168,Proveedores!$B$6:$C$205,2,FALSE),""))</x:f>
      </x:c>
      <x:c r="D168" s="59"/>
      <x:c r="E168" s="73"/>
      <x:c r="F168" s="73"/>
      <x:c r="G168" s="63"/>
      <x:c r="H168" s="61" t="str">
        <x:f>IF(B168="","",IFERROR(VLOOKUP(B168,Proveedores!$B$6:$K$205,10,FALSE),""))</x:f>
      </x:c>
      <x:c r="I168" s="24"/>
      <x:c r="J168" s="24"/>
      <x:c r="K168" s="59"/>
      <x:c r="L168" s="71"/>
      <x:c r="M168" s="115" t="str">
        <x:f>IF(B168="","",IFERROR(VLOOKUP(B168,Proveedores!$B$6:$L$205,11,FALSE),1))</x:f>
      </x:c>
      <x:c r="N168" s="115" t="str">
        <x:f>IF(G168="","",G168*IF(M168="",1,M168))</x:f>
      </x:c>
    </x:row>
    <x:row r="169">
      <x:c r="A169" s="61"/>
      <x:c r="B169" s="24"/>
      <x:c r="C169" s="61" t="str">
        <x:f>IF(B169="","",IFERROR(VLOOKUP(B169,Proveedores!$B$6:$C$205,2,FALSE),""))</x:f>
      </x:c>
      <x:c r="D169" s="59"/>
      <x:c r="E169" s="73"/>
      <x:c r="F169" s="73"/>
      <x:c r="G169" s="63"/>
      <x:c r="H169" s="61" t="str">
        <x:f>IF(B169="","",IFERROR(VLOOKUP(B169,Proveedores!$B$6:$K$205,10,FALSE),""))</x:f>
      </x:c>
      <x:c r="I169" s="24"/>
      <x:c r="J169" s="24"/>
      <x:c r="K169" s="59"/>
      <x:c r="L169" s="71"/>
      <x:c r="M169" s="115" t="str">
        <x:f>IF(B169="","",IFERROR(VLOOKUP(B169,Proveedores!$B$6:$L$205,11,FALSE),1))</x:f>
      </x:c>
      <x:c r="N169" s="115" t="str">
        <x:f>IF(G169="","",G169*IF(M169="",1,M169))</x:f>
      </x:c>
    </x:row>
    <x:row r="170">
      <x:c r="A170" s="61"/>
      <x:c r="B170" s="24"/>
      <x:c r="C170" s="61" t="str">
        <x:f>IF(B170="","",IFERROR(VLOOKUP(B170,Proveedores!$B$6:$C$205,2,FALSE),""))</x:f>
      </x:c>
      <x:c r="D170" s="59"/>
      <x:c r="E170" s="73"/>
      <x:c r="F170" s="73"/>
      <x:c r="G170" s="63"/>
      <x:c r="H170" s="61" t="str">
        <x:f>IF(B170="","",IFERROR(VLOOKUP(B170,Proveedores!$B$6:$K$205,10,FALSE),""))</x:f>
      </x:c>
      <x:c r="I170" s="24"/>
      <x:c r="J170" s="24"/>
      <x:c r="K170" s="59"/>
      <x:c r="L170" s="71"/>
      <x:c r="M170" s="115" t="str">
        <x:f>IF(B170="","",IFERROR(VLOOKUP(B170,Proveedores!$B$6:$L$205,11,FALSE),1))</x:f>
      </x:c>
      <x:c r="N170" s="115" t="str">
        <x:f>IF(G170="","",G170*IF(M170="",1,M170))</x:f>
      </x:c>
    </x:row>
    <x:row r="171">
      <x:c r="A171" s="61"/>
      <x:c r="B171" s="24"/>
      <x:c r="C171" s="61" t="str">
        <x:f>IF(B171="","",IFERROR(VLOOKUP(B171,Proveedores!$B$6:$C$205,2,FALSE),""))</x:f>
      </x:c>
      <x:c r="D171" s="59"/>
      <x:c r="E171" s="73"/>
      <x:c r="F171" s="73"/>
      <x:c r="G171" s="63"/>
      <x:c r="H171" s="61" t="str">
        <x:f>IF(B171="","",IFERROR(VLOOKUP(B171,Proveedores!$B$6:$K$205,10,FALSE),""))</x:f>
      </x:c>
      <x:c r="I171" s="24"/>
      <x:c r="J171" s="24"/>
      <x:c r="K171" s="59"/>
      <x:c r="L171" s="71"/>
      <x:c r="M171" s="115" t="str">
        <x:f>IF(B171="","",IFERROR(VLOOKUP(B171,Proveedores!$B$6:$L$205,11,FALSE),1))</x:f>
      </x:c>
      <x:c r="N171" s="115" t="str">
        <x:f>IF(G171="","",G171*IF(M171="",1,M171))</x:f>
      </x:c>
    </x:row>
    <x:row r="172">
      <x:c r="A172" s="61"/>
      <x:c r="B172" s="24"/>
      <x:c r="C172" s="61" t="str">
        <x:f>IF(B172="","",IFERROR(VLOOKUP(B172,Proveedores!$B$6:$C$205,2,FALSE),""))</x:f>
      </x:c>
      <x:c r="D172" s="59"/>
      <x:c r="E172" s="73"/>
      <x:c r="F172" s="73"/>
      <x:c r="G172" s="63"/>
      <x:c r="H172" s="61" t="str">
        <x:f>IF(B172="","",IFERROR(VLOOKUP(B172,Proveedores!$B$6:$K$205,10,FALSE),""))</x:f>
      </x:c>
      <x:c r="I172" s="24"/>
      <x:c r="J172" s="24"/>
      <x:c r="K172" s="59"/>
      <x:c r="L172" s="71"/>
      <x:c r="M172" s="115" t="str">
        <x:f>IF(B172="","",IFERROR(VLOOKUP(B172,Proveedores!$B$6:$L$205,11,FALSE),1))</x:f>
      </x:c>
      <x:c r="N172" s="115" t="str">
        <x:f>IF(G172="","",G172*IF(M172="",1,M172))</x:f>
      </x:c>
    </x:row>
    <x:row r="173">
      <x:c r="A173" s="61"/>
      <x:c r="B173" s="24"/>
      <x:c r="C173" s="61" t="str">
        <x:f>IF(B173="","",IFERROR(VLOOKUP(B173,Proveedores!$B$6:$C$205,2,FALSE),""))</x:f>
      </x:c>
      <x:c r="D173" s="59"/>
      <x:c r="E173" s="73"/>
      <x:c r="F173" s="73"/>
      <x:c r="G173" s="63"/>
      <x:c r="H173" s="61" t="str">
        <x:f>IF(B173="","",IFERROR(VLOOKUP(B173,Proveedores!$B$6:$K$205,10,FALSE),""))</x:f>
      </x:c>
      <x:c r="I173" s="24"/>
      <x:c r="J173" s="24"/>
      <x:c r="K173" s="59"/>
      <x:c r="L173" s="71"/>
      <x:c r="M173" s="115" t="str">
        <x:f>IF(B173="","",IFERROR(VLOOKUP(B173,Proveedores!$B$6:$L$205,11,FALSE),1))</x:f>
      </x:c>
      <x:c r="N173" s="115" t="str">
        <x:f>IF(G173="","",G173*IF(M173="",1,M173))</x:f>
      </x:c>
    </x:row>
    <x:row r="174">
      <x:c r="A174" s="61"/>
      <x:c r="B174" s="24"/>
      <x:c r="C174" s="61" t="str">
        <x:f>IF(B174="","",IFERROR(VLOOKUP(B174,Proveedores!$B$6:$C$205,2,FALSE),""))</x:f>
      </x:c>
      <x:c r="D174" s="59"/>
      <x:c r="E174" s="73"/>
      <x:c r="F174" s="73"/>
      <x:c r="G174" s="63"/>
      <x:c r="H174" s="61" t="str">
        <x:f>IF(B174="","",IFERROR(VLOOKUP(B174,Proveedores!$B$6:$K$205,10,FALSE),""))</x:f>
      </x:c>
      <x:c r="I174" s="24"/>
      <x:c r="J174" s="24"/>
      <x:c r="K174" s="59"/>
      <x:c r="L174" s="71"/>
      <x:c r="M174" s="115" t="str">
        <x:f>IF(B174="","",IFERROR(VLOOKUP(B174,Proveedores!$B$6:$L$205,11,FALSE),1))</x:f>
      </x:c>
      <x:c r="N174" s="115" t="str">
        <x:f>IF(G174="","",G174*IF(M174="",1,M174))</x:f>
      </x:c>
    </x:row>
    <x:row r="175">
      <x:c r="A175" s="61"/>
      <x:c r="B175" s="24"/>
      <x:c r="C175" s="61" t="str">
        <x:f>IF(B175="","",IFERROR(VLOOKUP(B175,Proveedores!$B$6:$C$205,2,FALSE),""))</x:f>
      </x:c>
      <x:c r="D175" s="59"/>
      <x:c r="E175" s="73"/>
      <x:c r="F175" s="73"/>
      <x:c r="G175" s="63"/>
      <x:c r="H175" s="61" t="str">
        <x:f>IF(B175="","",IFERROR(VLOOKUP(B175,Proveedores!$B$6:$K$205,10,FALSE),""))</x:f>
      </x:c>
      <x:c r="I175" s="24"/>
      <x:c r="J175" s="24"/>
      <x:c r="K175" s="59"/>
      <x:c r="L175" s="71"/>
      <x:c r="M175" s="115" t="str">
        <x:f>IF(B175="","",IFERROR(VLOOKUP(B175,Proveedores!$B$6:$L$205,11,FALSE),1))</x:f>
      </x:c>
      <x:c r="N175" s="115" t="str">
        <x:f>IF(G175="","",G175*IF(M175="",1,M175))</x:f>
      </x:c>
    </x:row>
    <x:row r="176">
      <x:c r="A176" s="61"/>
      <x:c r="B176" s="24"/>
      <x:c r="C176" s="61" t="str">
        <x:f>IF(B176="","",IFERROR(VLOOKUP(B176,Proveedores!$B$6:$C$205,2,FALSE),""))</x:f>
      </x:c>
      <x:c r="D176" s="59"/>
      <x:c r="E176" s="73"/>
      <x:c r="F176" s="73"/>
      <x:c r="G176" s="63"/>
      <x:c r="H176" s="61" t="str">
        <x:f>IF(B176="","",IFERROR(VLOOKUP(B176,Proveedores!$B$6:$K$205,10,FALSE),""))</x:f>
      </x:c>
      <x:c r="I176" s="24"/>
      <x:c r="J176" s="24"/>
      <x:c r="K176" s="59"/>
      <x:c r="L176" s="71"/>
      <x:c r="M176" s="115" t="str">
        <x:f>IF(B176="","",IFERROR(VLOOKUP(B176,Proveedores!$B$6:$L$205,11,FALSE),1))</x:f>
      </x:c>
      <x:c r="N176" s="115" t="str">
        <x:f>IF(G176="","",G176*IF(M176="",1,M176))</x:f>
      </x:c>
    </x:row>
    <x:row r="177">
      <x:c r="A177" s="61"/>
      <x:c r="B177" s="24"/>
      <x:c r="C177" s="61" t="str">
        <x:f>IF(B177="","",IFERROR(VLOOKUP(B177,Proveedores!$B$6:$C$205,2,FALSE),""))</x:f>
      </x:c>
      <x:c r="D177" s="59"/>
      <x:c r="E177" s="73"/>
      <x:c r="F177" s="73"/>
      <x:c r="G177" s="63"/>
      <x:c r="H177" s="61" t="str">
        <x:f>IF(B177="","",IFERROR(VLOOKUP(B177,Proveedores!$B$6:$K$205,10,FALSE),""))</x:f>
      </x:c>
      <x:c r="I177" s="24"/>
      <x:c r="J177" s="24"/>
      <x:c r="K177" s="59"/>
      <x:c r="L177" s="71"/>
      <x:c r="M177" s="115" t="str">
        <x:f>IF(B177="","",IFERROR(VLOOKUP(B177,Proveedores!$B$6:$L$205,11,FALSE),1))</x:f>
      </x:c>
      <x:c r="N177" s="115" t="str">
        <x:f>IF(G177="","",G177*IF(M177="",1,M177))</x:f>
      </x:c>
    </x:row>
    <x:row r="178">
      <x:c r="A178" s="61"/>
      <x:c r="B178" s="24"/>
      <x:c r="C178" s="61" t="str">
        <x:f>IF(B178="","",IFERROR(VLOOKUP(B178,Proveedores!$B$6:$C$205,2,FALSE),""))</x:f>
      </x:c>
      <x:c r="D178" s="59"/>
      <x:c r="E178" s="73"/>
      <x:c r="F178" s="73"/>
      <x:c r="G178" s="63"/>
      <x:c r="H178" s="61" t="str">
        <x:f>IF(B178="","",IFERROR(VLOOKUP(B178,Proveedores!$B$6:$K$205,10,FALSE),""))</x:f>
      </x:c>
      <x:c r="I178" s="24"/>
      <x:c r="J178" s="24"/>
      <x:c r="K178" s="59"/>
      <x:c r="L178" s="71"/>
      <x:c r="M178" s="115" t="str">
        <x:f>IF(B178="","",IFERROR(VLOOKUP(B178,Proveedores!$B$6:$L$205,11,FALSE),1))</x:f>
      </x:c>
      <x:c r="N178" s="115" t="str">
        <x:f>IF(G178="","",G178*IF(M178="",1,M178))</x:f>
      </x:c>
    </x:row>
    <x:row r="179">
      <x:c r="A179" s="61"/>
      <x:c r="B179" s="24"/>
      <x:c r="C179" s="61" t="str">
        <x:f>IF(B179="","",IFERROR(VLOOKUP(B179,Proveedores!$B$6:$C$205,2,FALSE),""))</x:f>
      </x:c>
      <x:c r="D179" s="59"/>
      <x:c r="E179" s="73"/>
      <x:c r="F179" s="73"/>
      <x:c r="G179" s="63"/>
      <x:c r="H179" s="61" t="str">
        <x:f>IF(B179="","",IFERROR(VLOOKUP(B179,Proveedores!$B$6:$K$205,10,FALSE),""))</x:f>
      </x:c>
      <x:c r="I179" s="24"/>
      <x:c r="J179" s="24"/>
      <x:c r="K179" s="59"/>
      <x:c r="L179" s="71"/>
      <x:c r="M179" s="115" t="str">
        <x:f>IF(B179="","",IFERROR(VLOOKUP(B179,Proveedores!$B$6:$L$205,11,FALSE),1))</x:f>
      </x:c>
      <x:c r="N179" s="115" t="str">
        <x:f>IF(G179="","",G179*IF(M179="",1,M179))</x:f>
      </x:c>
    </x:row>
    <x:row r="180">
      <x:c r="A180" s="61"/>
      <x:c r="B180" s="24"/>
      <x:c r="C180" s="61" t="str">
        <x:f>IF(B180="","",IFERROR(VLOOKUP(B180,Proveedores!$B$6:$C$205,2,FALSE),""))</x:f>
      </x:c>
      <x:c r="D180" s="59"/>
      <x:c r="E180" s="73"/>
      <x:c r="F180" s="73"/>
      <x:c r="G180" s="63"/>
      <x:c r="H180" s="61" t="str">
        <x:f>IF(B180="","",IFERROR(VLOOKUP(B180,Proveedores!$B$6:$K$205,10,FALSE),""))</x:f>
      </x:c>
      <x:c r="I180" s="24"/>
      <x:c r="J180" s="24"/>
      <x:c r="K180" s="59"/>
      <x:c r="L180" s="71"/>
      <x:c r="M180" s="115" t="str">
        <x:f>IF(B180="","",IFERROR(VLOOKUP(B180,Proveedores!$B$6:$L$205,11,FALSE),1))</x:f>
      </x:c>
      <x:c r="N180" s="115" t="str">
        <x:f>IF(G180="","",G180*IF(M180="",1,M180))</x:f>
      </x:c>
    </x:row>
    <x:row r="181">
      <x:c r="A181" s="61"/>
      <x:c r="B181" s="24"/>
      <x:c r="C181" s="61" t="str">
        <x:f>IF(B181="","",IFERROR(VLOOKUP(B181,Proveedores!$B$6:$C$205,2,FALSE),""))</x:f>
      </x:c>
      <x:c r="D181" s="59"/>
      <x:c r="E181" s="73"/>
      <x:c r="F181" s="73"/>
      <x:c r="G181" s="63"/>
      <x:c r="H181" s="61" t="str">
        <x:f>IF(B181="","",IFERROR(VLOOKUP(B181,Proveedores!$B$6:$K$205,10,FALSE),""))</x:f>
      </x:c>
      <x:c r="I181" s="24"/>
      <x:c r="J181" s="24"/>
      <x:c r="K181" s="59"/>
      <x:c r="L181" s="71"/>
      <x:c r="M181" s="115" t="str">
        <x:f>IF(B181="","",IFERROR(VLOOKUP(B181,Proveedores!$B$6:$L$205,11,FALSE),1))</x:f>
      </x:c>
      <x:c r="N181" s="115" t="str">
        <x:f>IF(G181="","",G181*IF(M181="",1,M181))</x:f>
      </x:c>
    </x:row>
    <x:row r="182">
      <x:c r="A182" s="61"/>
      <x:c r="B182" s="24"/>
      <x:c r="C182" s="61" t="str">
        <x:f>IF(B182="","",IFERROR(VLOOKUP(B182,Proveedores!$B$6:$C$205,2,FALSE),""))</x:f>
      </x:c>
      <x:c r="D182" s="59"/>
      <x:c r="E182" s="73"/>
      <x:c r="F182" s="73"/>
      <x:c r="G182" s="63"/>
      <x:c r="H182" s="61" t="str">
        <x:f>IF(B182="","",IFERROR(VLOOKUP(B182,Proveedores!$B$6:$K$205,10,FALSE),""))</x:f>
      </x:c>
      <x:c r="I182" s="24"/>
      <x:c r="J182" s="24"/>
      <x:c r="K182" s="59"/>
      <x:c r="L182" s="71"/>
      <x:c r="M182" s="115" t="str">
        <x:f>IF(B182="","",IFERROR(VLOOKUP(B182,Proveedores!$B$6:$L$205,11,FALSE),1))</x:f>
      </x:c>
      <x:c r="N182" s="115" t="str">
        <x:f>IF(G182="","",G182*IF(M182="",1,M182))</x:f>
      </x:c>
    </x:row>
    <x:row r="183">
      <x:c r="A183" s="61"/>
      <x:c r="B183" s="24"/>
      <x:c r="C183" s="61" t="str">
        <x:f>IF(B183="","",IFERROR(VLOOKUP(B183,Proveedores!$B$6:$C$205,2,FALSE),""))</x:f>
      </x:c>
      <x:c r="D183" s="59"/>
      <x:c r="E183" s="73"/>
      <x:c r="F183" s="73"/>
      <x:c r="G183" s="63"/>
      <x:c r="H183" s="61" t="str">
        <x:f>IF(B183="","",IFERROR(VLOOKUP(B183,Proveedores!$B$6:$K$205,10,FALSE),""))</x:f>
      </x:c>
      <x:c r="I183" s="24"/>
      <x:c r="J183" s="24"/>
      <x:c r="K183" s="59"/>
      <x:c r="L183" s="71"/>
      <x:c r="M183" s="115" t="str">
        <x:f>IF(B183="","",IFERROR(VLOOKUP(B183,Proveedores!$B$6:$L$205,11,FALSE),1))</x:f>
      </x:c>
      <x:c r="N183" s="115" t="str">
        <x:f>IF(G183="","",G183*IF(M183="",1,M183))</x:f>
      </x:c>
    </x:row>
    <x:row r="184">
      <x:c r="A184" s="61"/>
      <x:c r="B184" s="24"/>
      <x:c r="C184" s="61" t="str">
        <x:f>IF(B184="","",IFERROR(VLOOKUP(B184,Proveedores!$B$6:$C$205,2,FALSE),""))</x:f>
      </x:c>
      <x:c r="D184" s="59"/>
      <x:c r="E184" s="73"/>
      <x:c r="F184" s="73"/>
      <x:c r="G184" s="63"/>
      <x:c r="H184" s="61" t="str">
        <x:f>IF(B184="","",IFERROR(VLOOKUP(B184,Proveedores!$B$6:$K$205,10,FALSE),""))</x:f>
      </x:c>
      <x:c r="I184" s="24"/>
      <x:c r="J184" s="24"/>
      <x:c r="K184" s="59"/>
      <x:c r="L184" s="71"/>
      <x:c r="M184" s="115" t="str">
        <x:f>IF(B184="","",IFERROR(VLOOKUP(B184,Proveedores!$B$6:$L$205,11,FALSE),1))</x:f>
      </x:c>
      <x:c r="N184" s="115" t="str">
        <x:f>IF(G184="","",G184*IF(M184="",1,M184))</x:f>
      </x:c>
    </x:row>
    <x:row r="185">
      <x:c r="A185" s="61"/>
      <x:c r="B185" s="24"/>
      <x:c r="C185" s="61" t="str">
        <x:f>IF(B185="","",IFERROR(VLOOKUP(B185,Proveedores!$B$6:$C$205,2,FALSE),""))</x:f>
      </x:c>
      <x:c r="D185" s="59"/>
      <x:c r="E185" s="73"/>
      <x:c r="F185" s="73"/>
      <x:c r="G185" s="63"/>
      <x:c r="H185" s="61" t="str">
        <x:f>IF(B185="","",IFERROR(VLOOKUP(B185,Proveedores!$B$6:$K$205,10,FALSE),""))</x:f>
      </x:c>
      <x:c r="I185" s="24"/>
      <x:c r="J185" s="24"/>
      <x:c r="K185" s="59"/>
      <x:c r="L185" s="71"/>
      <x:c r="M185" s="115" t="str">
        <x:f>IF(B185="","",IFERROR(VLOOKUP(B185,Proveedores!$B$6:$L$205,11,FALSE),1))</x:f>
      </x:c>
      <x:c r="N185" s="115" t="str">
        <x:f>IF(G185="","",G185*IF(M185="",1,M185))</x:f>
      </x:c>
    </x:row>
    <x:row r="186">
      <x:c r="A186" s="61"/>
      <x:c r="B186" s="24"/>
      <x:c r="C186" s="61" t="str">
        <x:f>IF(B186="","",IFERROR(VLOOKUP(B186,Proveedores!$B$6:$C$205,2,FALSE),""))</x:f>
      </x:c>
      <x:c r="D186" s="59"/>
      <x:c r="E186" s="73"/>
      <x:c r="F186" s="73"/>
      <x:c r="G186" s="63"/>
      <x:c r="H186" s="61" t="str">
        <x:f>IF(B186="","",IFERROR(VLOOKUP(B186,Proveedores!$B$6:$K$205,10,FALSE),""))</x:f>
      </x:c>
      <x:c r="I186" s="24"/>
      <x:c r="J186" s="24"/>
      <x:c r="K186" s="59"/>
      <x:c r="L186" s="71"/>
      <x:c r="M186" s="115" t="str">
        <x:f>IF(B186="","",IFERROR(VLOOKUP(B186,Proveedores!$B$6:$L$205,11,FALSE),1))</x:f>
      </x:c>
      <x:c r="N186" s="115" t="str">
        <x:f>IF(G186="","",G186*IF(M186="",1,M186))</x:f>
      </x:c>
    </x:row>
    <x:row r="187">
      <x:c r="A187" s="61"/>
      <x:c r="B187" s="24"/>
      <x:c r="C187" s="61" t="str">
        <x:f>IF(B187="","",IFERROR(VLOOKUP(B187,Proveedores!$B$6:$C$205,2,FALSE),""))</x:f>
      </x:c>
      <x:c r="D187" s="59"/>
      <x:c r="E187" s="73"/>
      <x:c r="F187" s="73"/>
      <x:c r="G187" s="63"/>
      <x:c r="H187" s="61" t="str">
        <x:f>IF(B187="","",IFERROR(VLOOKUP(B187,Proveedores!$B$6:$K$205,10,FALSE),""))</x:f>
      </x:c>
      <x:c r="I187" s="24"/>
      <x:c r="J187" s="24"/>
      <x:c r="K187" s="59"/>
      <x:c r="L187" s="71"/>
      <x:c r="M187" s="115" t="str">
        <x:f>IF(B187="","",IFERROR(VLOOKUP(B187,Proveedores!$B$6:$L$205,11,FALSE),1))</x:f>
      </x:c>
      <x:c r="N187" s="115" t="str">
        <x:f>IF(G187="","",G187*IF(M187="",1,M187))</x:f>
      </x:c>
    </x:row>
    <x:row r="188">
      <x:c r="A188" s="61"/>
      <x:c r="B188" s="24"/>
      <x:c r="C188" s="61" t="str">
        <x:f>IF(B188="","",IFERROR(VLOOKUP(B188,Proveedores!$B$6:$C$205,2,FALSE),""))</x:f>
      </x:c>
      <x:c r="D188" s="59"/>
      <x:c r="E188" s="73"/>
      <x:c r="F188" s="73"/>
      <x:c r="G188" s="63"/>
      <x:c r="H188" s="61" t="str">
        <x:f>IF(B188="","",IFERROR(VLOOKUP(B188,Proveedores!$B$6:$K$205,10,FALSE),""))</x:f>
      </x:c>
      <x:c r="I188" s="24"/>
      <x:c r="J188" s="24"/>
      <x:c r="K188" s="59"/>
      <x:c r="L188" s="71"/>
      <x:c r="M188" s="115" t="str">
        <x:f>IF(B188="","",IFERROR(VLOOKUP(B188,Proveedores!$B$6:$L$205,11,FALSE),1))</x:f>
      </x:c>
      <x:c r="N188" s="115" t="str">
        <x:f>IF(G188="","",G188*IF(M188="",1,M188))</x:f>
      </x:c>
    </x:row>
    <x:row r="189">
      <x:c r="A189" s="61"/>
      <x:c r="B189" s="24"/>
      <x:c r="C189" s="61" t="str">
        <x:f>IF(B189="","",IFERROR(VLOOKUP(B189,Proveedores!$B$6:$C$205,2,FALSE),""))</x:f>
      </x:c>
      <x:c r="D189" s="59"/>
      <x:c r="E189" s="73"/>
      <x:c r="F189" s="73"/>
      <x:c r="G189" s="63"/>
      <x:c r="H189" s="61" t="str">
        <x:f>IF(B189="","",IFERROR(VLOOKUP(B189,Proveedores!$B$6:$K$205,10,FALSE),""))</x:f>
      </x:c>
      <x:c r="I189" s="24"/>
      <x:c r="J189" s="24"/>
      <x:c r="K189" s="59"/>
      <x:c r="L189" s="71"/>
      <x:c r="M189" s="115" t="str">
        <x:f>IF(B189="","",IFERROR(VLOOKUP(B189,Proveedores!$B$6:$L$205,11,FALSE),1))</x:f>
      </x:c>
      <x:c r="N189" s="115" t="str">
        <x:f>IF(G189="","",G189*IF(M189="",1,M189))</x:f>
      </x:c>
    </x:row>
    <x:row r="190">
      <x:c r="A190" s="61"/>
      <x:c r="B190" s="24"/>
      <x:c r="C190" s="61" t="str">
        <x:f>IF(B190="","",IFERROR(VLOOKUP(B190,Proveedores!$B$6:$C$205,2,FALSE),""))</x:f>
      </x:c>
      <x:c r="D190" s="59"/>
      <x:c r="E190" s="73"/>
      <x:c r="F190" s="73"/>
      <x:c r="G190" s="63"/>
      <x:c r="H190" s="61" t="str">
        <x:f>IF(B190="","",IFERROR(VLOOKUP(B190,Proveedores!$B$6:$K$205,10,FALSE),""))</x:f>
      </x:c>
      <x:c r="I190" s="24"/>
      <x:c r="J190" s="24"/>
      <x:c r="K190" s="59"/>
      <x:c r="L190" s="71"/>
      <x:c r="M190" s="115" t="str">
        <x:f>IF(B190="","",IFERROR(VLOOKUP(B190,Proveedores!$B$6:$L$205,11,FALSE),1))</x:f>
      </x:c>
      <x:c r="N190" s="115" t="str">
        <x:f>IF(G190="","",G190*IF(M190="",1,M190))</x:f>
      </x:c>
    </x:row>
    <x:row r="191">
      <x:c r="A191" s="61"/>
      <x:c r="B191" s="24"/>
      <x:c r="C191" s="61" t="str">
        <x:f>IF(B191="","",IFERROR(VLOOKUP(B191,Proveedores!$B$6:$C$205,2,FALSE),""))</x:f>
      </x:c>
      <x:c r="D191" s="59"/>
      <x:c r="E191" s="73"/>
      <x:c r="F191" s="73"/>
      <x:c r="G191" s="63"/>
      <x:c r="H191" s="61" t="str">
        <x:f>IF(B191="","",IFERROR(VLOOKUP(B191,Proveedores!$B$6:$K$205,10,FALSE),""))</x:f>
      </x:c>
      <x:c r="I191" s="24"/>
      <x:c r="J191" s="24"/>
      <x:c r="K191" s="59"/>
      <x:c r="L191" s="71"/>
      <x:c r="M191" s="115" t="str">
        <x:f>IF(B191="","",IFERROR(VLOOKUP(B191,Proveedores!$B$6:$L$205,11,FALSE),1))</x:f>
      </x:c>
      <x:c r="N191" s="115" t="str">
        <x:f>IF(G191="","",G191*IF(M191="",1,M191))</x:f>
      </x:c>
    </x:row>
    <x:row r="192">
      <x:c r="A192" s="61"/>
      <x:c r="B192" s="24"/>
      <x:c r="C192" s="61" t="str">
        <x:f>IF(B192="","",IFERROR(VLOOKUP(B192,Proveedores!$B$6:$C$205,2,FALSE),""))</x:f>
      </x:c>
      <x:c r="D192" s="59"/>
      <x:c r="E192" s="73"/>
      <x:c r="F192" s="73"/>
      <x:c r="G192" s="63"/>
      <x:c r="H192" s="61" t="str">
        <x:f>IF(B192="","",IFERROR(VLOOKUP(B192,Proveedores!$B$6:$K$205,10,FALSE),""))</x:f>
      </x:c>
      <x:c r="I192" s="24"/>
      <x:c r="J192" s="24"/>
      <x:c r="K192" s="59"/>
      <x:c r="L192" s="71"/>
      <x:c r="M192" s="115" t="str">
        <x:f>IF(B192="","",IFERROR(VLOOKUP(B192,Proveedores!$B$6:$L$205,11,FALSE),1))</x:f>
      </x:c>
      <x:c r="N192" s="115" t="str">
        <x:f>IF(G192="","",G192*IF(M192="",1,M192))</x:f>
      </x:c>
    </x:row>
    <x:row r="193">
      <x:c r="A193" s="61"/>
      <x:c r="B193" s="24"/>
      <x:c r="C193" s="61" t="str">
        <x:f>IF(B193="","",IFERROR(VLOOKUP(B193,Proveedores!$B$6:$C$205,2,FALSE),""))</x:f>
      </x:c>
      <x:c r="D193" s="59"/>
      <x:c r="E193" s="73"/>
      <x:c r="F193" s="73"/>
      <x:c r="G193" s="63"/>
      <x:c r="H193" s="61" t="str">
        <x:f>IF(B193="","",IFERROR(VLOOKUP(B193,Proveedores!$B$6:$K$205,10,FALSE),""))</x:f>
      </x:c>
      <x:c r="I193" s="24"/>
      <x:c r="J193" s="24"/>
      <x:c r="K193" s="59"/>
      <x:c r="L193" s="71"/>
      <x:c r="M193" s="115" t="str">
        <x:f>IF(B193="","",IFERROR(VLOOKUP(B193,Proveedores!$B$6:$L$205,11,FALSE),1))</x:f>
      </x:c>
      <x:c r="N193" s="115" t="str">
        <x:f>IF(G193="","",G193*IF(M193="",1,M193))</x:f>
      </x:c>
    </x:row>
    <x:row r="194">
      <x:c r="A194" s="61"/>
      <x:c r="B194" s="24"/>
      <x:c r="C194" s="61" t="str">
        <x:f>IF(B194="","",IFERROR(VLOOKUP(B194,Proveedores!$B$6:$C$205,2,FALSE),""))</x:f>
      </x:c>
      <x:c r="D194" s="59"/>
      <x:c r="E194" s="73"/>
      <x:c r="F194" s="73"/>
      <x:c r="G194" s="63"/>
      <x:c r="H194" s="61" t="str">
        <x:f>IF(B194="","",IFERROR(VLOOKUP(B194,Proveedores!$B$6:$K$205,10,FALSE),""))</x:f>
      </x:c>
      <x:c r="I194" s="24"/>
      <x:c r="J194" s="24"/>
      <x:c r="K194" s="59"/>
      <x:c r="L194" s="71"/>
      <x:c r="M194" s="115" t="str">
        <x:f>IF(B194="","",IFERROR(VLOOKUP(B194,Proveedores!$B$6:$L$205,11,FALSE),1))</x:f>
      </x:c>
      <x:c r="N194" s="115" t="str">
        <x:f>IF(G194="","",G194*IF(M194="",1,M194))</x:f>
      </x:c>
    </x:row>
    <x:row r="195">
      <x:c r="A195" s="61"/>
      <x:c r="B195" s="24"/>
      <x:c r="C195" s="61" t="str">
        <x:f>IF(B195="","",IFERROR(VLOOKUP(B195,Proveedores!$B$6:$C$205,2,FALSE),""))</x:f>
      </x:c>
      <x:c r="D195" s="59"/>
      <x:c r="E195" s="73"/>
      <x:c r="F195" s="73"/>
      <x:c r="G195" s="63"/>
      <x:c r="H195" s="61" t="str">
        <x:f>IF(B195="","",IFERROR(VLOOKUP(B195,Proveedores!$B$6:$K$205,10,FALSE),""))</x:f>
      </x:c>
      <x:c r="I195" s="24"/>
      <x:c r="J195" s="24"/>
      <x:c r="K195" s="59"/>
      <x:c r="L195" s="71"/>
      <x:c r="M195" s="115" t="str">
        <x:f>IF(B195="","",IFERROR(VLOOKUP(B195,Proveedores!$B$6:$L$205,11,FALSE),1))</x:f>
      </x:c>
      <x:c r="N195" s="115" t="str">
        <x:f>IF(G195="","",G195*IF(M195="",1,M195))</x:f>
      </x:c>
    </x:row>
    <x:row r="196">
      <x:c r="A196" s="61"/>
      <x:c r="B196" s="24"/>
      <x:c r="C196" s="61" t="str">
        <x:f>IF(B196="","",IFERROR(VLOOKUP(B196,Proveedores!$B$6:$C$205,2,FALSE),""))</x:f>
      </x:c>
      <x:c r="D196" s="59"/>
      <x:c r="E196" s="73"/>
      <x:c r="F196" s="73"/>
      <x:c r="G196" s="63"/>
      <x:c r="H196" s="61" t="str">
        <x:f>IF(B196="","",IFERROR(VLOOKUP(B196,Proveedores!$B$6:$K$205,10,FALSE),""))</x:f>
      </x:c>
      <x:c r="I196" s="24"/>
      <x:c r="J196" s="24"/>
      <x:c r="K196" s="59"/>
      <x:c r="L196" s="71"/>
      <x:c r="M196" s="115" t="str">
        <x:f>IF(B196="","",IFERROR(VLOOKUP(B196,Proveedores!$B$6:$L$205,11,FALSE),1))</x:f>
      </x:c>
      <x:c r="N196" s="115" t="str">
        <x:f>IF(G196="","",G196*IF(M196="",1,M196))</x:f>
      </x:c>
    </x:row>
    <x:row r="197">
      <x:c r="A197" s="61"/>
      <x:c r="B197" s="24"/>
      <x:c r="C197" s="61" t="str">
        <x:f>IF(B197="","",IFERROR(VLOOKUP(B197,Proveedores!$B$6:$C$205,2,FALSE),""))</x:f>
      </x:c>
      <x:c r="D197" s="59"/>
      <x:c r="E197" s="73"/>
      <x:c r="F197" s="73"/>
      <x:c r="G197" s="63"/>
      <x:c r="H197" s="61" t="str">
        <x:f>IF(B197="","",IFERROR(VLOOKUP(B197,Proveedores!$B$6:$K$205,10,FALSE),""))</x:f>
      </x:c>
      <x:c r="I197" s="24"/>
      <x:c r="J197" s="24"/>
      <x:c r="K197" s="59"/>
      <x:c r="L197" s="71"/>
      <x:c r="M197" s="115" t="str">
        <x:f>IF(B197="","",IFERROR(VLOOKUP(B197,Proveedores!$B$6:$L$205,11,FALSE),1))</x:f>
      </x:c>
      <x:c r="N197" s="115" t="str">
        <x:f>IF(G197="","",G197*IF(M197="",1,M197))</x:f>
      </x:c>
    </x:row>
    <x:row r="198">
      <x:c r="A198" s="61"/>
      <x:c r="B198" s="24"/>
      <x:c r="C198" s="61" t="str">
        <x:f>IF(B198="","",IFERROR(VLOOKUP(B198,Proveedores!$B$6:$C$205,2,FALSE),""))</x:f>
      </x:c>
      <x:c r="D198" s="59"/>
      <x:c r="E198" s="73"/>
      <x:c r="F198" s="73"/>
      <x:c r="G198" s="63"/>
      <x:c r="H198" s="61" t="str">
        <x:f>IF(B198="","",IFERROR(VLOOKUP(B198,Proveedores!$B$6:$K$205,10,FALSE),""))</x:f>
      </x:c>
      <x:c r="I198" s="24"/>
      <x:c r="J198" s="24"/>
      <x:c r="K198" s="59"/>
      <x:c r="L198" s="71"/>
      <x:c r="M198" s="115" t="str">
        <x:f>IF(B198="","",IFERROR(VLOOKUP(B198,Proveedores!$B$6:$L$205,11,FALSE),1))</x:f>
      </x:c>
      <x:c r="N198" s="115" t="str">
        <x:f>IF(G198="","",G198*IF(M198="",1,M198))</x:f>
      </x:c>
    </x:row>
    <x:row r="199">
      <x:c r="A199" s="61"/>
      <x:c r="B199" s="24"/>
      <x:c r="C199" s="61" t="str">
        <x:f>IF(B199="","",IFERROR(VLOOKUP(B199,Proveedores!$B$6:$C$205,2,FALSE),""))</x:f>
      </x:c>
      <x:c r="D199" s="59"/>
      <x:c r="E199" s="73"/>
      <x:c r="F199" s="73"/>
      <x:c r="G199" s="63"/>
      <x:c r="H199" s="61" t="str">
        <x:f>IF(B199="","",IFERROR(VLOOKUP(B199,Proveedores!$B$6:$K$205,10,FALSE),""))</x:f>
      </x:c>
      <x:c r="I199" s="24"/>
      <x:c r="J199" s="24"/>
      <x:c r="K199" s="59"/>
      <x:c r="L199" s="71"/>
      <x:c r="M199" s="115" t="str">
        <x:f>IF(B199="","",IFERROR(VLOOKUP(B199,Proveedores!$B$6:$L$205,11,FALSE),1))</x:f>
      </x:c>
      <x:c r="N199" s="115" t="str">
        <x:f>IF(G199="","",G199*IF(M199="",1,M199))</x:f>
      </x:c>
    </x:row>
    <x:row r="200">
      <x:c r="A200" s="61"/>
      <x:c r="B200" s="24"/>
      <x:c r="C200" s="61" t="str">
        <x:f>IF(B200="","",IFERROR(VLOOKUP(B200,Proveedores!$B$6:$C$205,2,FALSE),""))</x:f>
      </x:c>
      <x:c r="D200" s="59"/>
      <x:c r="E200" s="73"/>
      <x:c r="F200" s="73"/>
      <x:c r="G200" s="63"/>
      <x:c r="H200" s="61" t="str">
        <x:f>IF(B200="","",IFERROR(VLOOKUP(B200,Proveedores!$B$6:$K$205,10,FALSE),""))</x:f>
      </x:c>
      <x:c r="I200" s="24"/>
      <x:c r="J200" s="24"/>
      <x:c r="K200" s="59"/>
      <x:c r="L200" s="71"/>
      <x:c r="M200" s="115" t="str">
        <x:f>IF(B200="","",IFERROR(VLOOKUP(B200,Proveedores!$B$6:$L$205,11,FALSE),1))</x:f>
      </x:c>
      <x:c r="N200" s="115" t="str">
        <x:f>IF(G200="","",G200*IF(M200="",1,M200))</x:f>
      </x:c>
    </x:row>
    <x:row r="201">
      <x:c r="A201" s="61"/>
      <x:c r="B201" s="24"/>
      <x:c r="C201" s="61" t="str">
        <x:f>IF(B201="","",IFERROR(VLOOKUP(B201,Proveedores!$B$6:$C$205,2,FALSE),""))</x:f>
      </x:c>
      <x:c r="D201" s="59"/>
      <x:c r="E201" s="73"/>
      <x:c r="F201" s="73"/>
      <x:c r="G201" s="63"/>
      <x:c r="H201" s="61" t="str">
        <x:f>IF(B201="","",IFERROR(VLOOKUP(B201,Proveedores!$B$6:$K$205,10,FALSE),""))</x:f>
      </x:c>
      <x:c r="I201" s="24"/>
      <x:c r="J201" s="24"/>
      <x:c r="K201" s="59"/>
      <x:c r="L201" s="71"/>
      <x:c r="M201" s="115" t="str">
        <x:f>IF(B201="","",IFERROR(VLOOKUP(B201,Proveedores!$B$6:$L$205,11,FALSE),1))</x:f>
      </x:c>
      <x:c r="N201" s="115" t="str">
        <x:f>IF(G201="","",G201*IF(M201="",1,M201))</x:f>
      </x:c>
    </x:row>
    <x:row r="202">
      <x:c r="A202" s="61"/>
      <x:c r="B202" s="24"/>
      <x:c r="C202" s="61" t="str">
        <x:f>IF(B202="","",IFERROR(VLOOKUP(B202,Proveedores!$B$6:$C$205,2,FALSE),""))</x:f>
      </x:c>
      <x:c r="D202" s="59"/>
      <x:c r="E202" s="73"/>
      <x:c r="F202" s="73"/>
      <x:c r="G202" s="63"/>
      <x:c r="H202" s="61" t="str">
        <x:f>IF(B202="","",IFERROR(VLOOKUP(B202,Proveedores!$B$6:$K$205,10,FALSE),""))</x:f>
      </x:c>
      <x:c r="I202" s="24"/>
      <x:c r="J202" s="24"/>
      <x:c r="K202" s="59"/>
      <x:c r="L202" s="71"/>
      <x:c r="M202" s="115" t="str">
        <x:f>IF(B202="","",IFERROR(VLOOKUP(B202,Proveedores!$B$6:$L$205,11,FALSE),1))</x:f>
      </x:c>
      <x:c r="N202" s="115" t="str">
        <x:f>IF(G202="","",G202*IF(M202="",1,M202))</x:f>
      </x:c>
    </x:row>
    <x:row r="203">
      <x:c r="A203" s="61"/>
      <x:c r="B203" s="24"/>
      <x:c r="C203" s="61" t="str">
        <x:f>IF(B203="","",IFERROR(VLOOKUP(B203,Proveedores!$B$6:$C$205,2,FALSE),""))</x:f>
      </x:c>
      <x:c r="D203" s="59"/>
      <x:c r="E203" s="73"/>
      <x:c r="F203" s="73"/>
      <x:c r="G203" s="63"/>
      <x:c r="H203" s="61" t="str">
        <x:f>IF(B203="","",IFERROR(VLOOKUP(B203,Proveedores!$B$6:$K$205,10,FALSE),""))</x:f>
      </x:c>
      <x:c r="I203" s="24"/>
      <x:c r="J203" s="24"/>
      <x:c r="K203" s="59"/>
      <x:c r="L203" s="71"/>
      <x:c r="M203" s="115" t="str">
        <x:f>IF(B203="","",IFERROR(VLOOKUP(B203,Proveedores!$B$6:$L$205,11,FALSE),1))</x:f>
      </x:c>
      <x:c r="N203" s="115" t="str">
        <x:f>IF(G203="","",G203*IF(M203="",1,M203))</x:f>
      </x:c>
    </x:row>
    <x:row r="204">
      <x:c r="A204" s="61"/>
      <x:c r="B204" s="24"/>
      <x:c r="C204" s="61" t="str">
        <x:f>IF(B204="","",IFERROR(VLOOKUP(B204,Proveedores!$B$6:$C$205,2,FALSE),""))</x:f>
      </x:c>
      <x:c r="D204" s="59"/>
      <x:c r="E204" s="73"/>
      <x:c r="F204" s="73"/>
      <x:c r="G204" s="63"/>
      <x:c r="H204" s="61" t="str">
        <x:f>IF(B204="","",IFERROR(VLOOKUP(B204,Proveedores!$B$6:$K$205,10,FALSE),""))</x:f>
      </x:c>
      <x:c r="I204" s="24"/>
      <x:c r="J204" s="24"/>
      <x:c r="K204" s="59"/>
      <x:c r="L204" s="71"/>
      <x:c r="M204" s="115" t="str">
        <x:f>IF(B204="","",IFERROR(VLOOKUP(B204,Proveedores!$B$6:$L$205,11,FALSE),1))</x:f>
      </x:c>
      <x:c r="N204" s="115" t="str">
        <x:f>IF(G204="","",G204*IF(M204="",1,M204))</x:f>
      </x:c>
    </x:row>
    <x:row r="205">
      <x:c r="A205" s="61"/>
      <x:c r="B205" s="24"/>
      <x:c r="C205" s="61" t="str">
        <x:f>IF(B205="","",IFERROR(VLOOKUP(B205,Proveedores!$B$6:$C$205,2,FALSE),""))</x:f>
      </x:c>
      <x:c r="D205" s="59"/>
      <x:c r="E205" s="73"/>
      <x:c r="F205" s="73"/>
      <x:c r="G205" s="63"/>
      <x:c r="H205" s="61" t="str">
        <x:f>IF(B205="","",IFERROR(VLOOKUP(B205,Proveedores!$B$6:$K$205,10,FALSE),""))</x:f>
      </x:c>
      <x:c r="I205" s="24"/>
      <x:c r="J205" s="24"/>
      <x:c r="K205" s="59"/>
      <x:c r="L205" s="71"/>
      <x:c r="M205" s="115" t="str">
        <x:f>IF(B205="","",IFERROR(VLOOKUP(B205,Proveedores!$B$6:$L$205,11,FALSE),1))</x:f>
      </x:c>
      <x:c r="N205" s="115" t="str">
        <x:f>IF(G205="","",G205*IF(M205="",1,M205))</x:f>
      </x:c>
    </x:row>
    <x:row r="206">
      <x:c r="A206" s="61"/>
      <x:c r="B206" s="24"/>
      <x:c r="C206" s="61" t="str">
        <x:f>IF(B206="","",IFERROR(VLOOKUP(B206,Proveedores!$B$6:$C$205,2,FALSE),""))</x:f>
      </x:c>
      <x:c r="D206" s="59"/>
      <x:c r="E206" s="73"/>
      <x:c r="F206" s="73"/>
      <x:c r="G206" s="63"/>
      <x:c r="H206" s="61" t="str">
        <x:f>IF(B206="","",IFERROR(VLOOKUP(B206,Proveedores!$B$6:$K$205,10,FALSE),""))</x:f>
      </x:c>
      <x:c r="I206" s="24"/>
      <x:c r="J206" s="24"/>
      <x:c r="K206" s="59"/>
      <x:c r="L206" s="71"/>
      <x:c r="M206" s="115" t="str">
        <x:f>IF(B206="","",IFERROR(VLOOKUP(B206,Proveedores!$B$6:$L$205,11,FALSE),1))</x:f>
      </x:c>
      <x:c r="N206" s="115" t="str">
        <x:f>IF(G206="","",G206*IF(M206="",1,M206))</x:f>
      </x:c>
    </x:row>
    <x:row r="207">
      <x:c r="A207" s="61"/>
      <x:c r="B207" s="24"/>
      <x:c r="C207" s="61" t="str">
        <x:f>IF(B207="","",IFERROR(VLOOKUP(B207,Proveedores!$B$6:$C$205,2,FALSE),""))</x:f>
      </x:c>
      <x:c r="D207" s="59"/>
      <x:c r="E207" s="73"/>
      <x:c r="F207" s="73"/>
      <x:c r="G207" s="63"/>
      <x:c r="H207" s="61" t="str">
        <x:f>IF(B207="","",IFERROR(VLOOKUP(B207,Proveedores!$B$6:$K$205,10,FALSE),""))</x:f>
      </x:c>
      <x:c r="I207" s="24"/>
      <x:c r="J207" s="24"/>
      <x:c r="K207" s="59"/>
      <x:c r="L207" s="71"/>
      <x:c r="M207" s="115" t="str">
        <x:f>IF(B207="","",IFERROR(VLOOKUP(B207,Proveedores!$B$6:$L$205,11,FALSE),1))</x:f>
      </x:c>
      <x:c r="N207" s="115" t="str">
        <x:f>IF(G207="","",G207*IF(M207="",1,M207))</x:f>
      </x:c>
    </x:row>
    <x:row r="208">
      <x:c r="A208" s="61"/>
      <x:c r="B208" s="24"/>
      <x:c r="C208" s="61" t="str">
        <x:f>IF(B208="","",IFERROR(VLOOKUP(B208,Proveedores!$B$6:$C$205,2,FALSE),""))</x:f>
      </x:c>
      <x:c r="D208" s="59"/>
      <x:c r="E208" s="73"/>
      <x:c r="F208" s="73"/>
      <x:c r="G208" s="63"/>
      <x:c r="H208" s="61" t="str">
        <x:f>IF(B208="","",IFERROR(VLOOKUP(B208,Proveedores!$B$6:$K$205,10,FALSE),""))</x:f>
      </x:c>
      <x:c r="I208" s="24"/>
      <x:c r="J208" s="24"/>
      <x:c r="K208" s="59"/>
      <x:c r="L208" s="71"/>
      <x:c r="M208" s="115" t="str">
        <x:f>IF(B208="","",IFERROR(VLOOKUP(B208,Proveedores!$B$6:$L$205,11,FALSE),1))</x:f>
      </x:c>
      <x:c r="N208" s="115" t="str">
        <x:f>IF(G208="","",G208*IF(M208="",1,M208))</x:f>
      </x:c>
    </x:row>
    <x:row r="209">
      <x:c r="A209" s="61"/>
      <x:c r="B209" s="24"/>
      <x:c r="C209" s="61" t="str">
        <x:f>IF(B209="","",IFERROR(VLOOKUP(B209,Proveedores!$B$6:$C$205,2,FALSE),""))</x:f>
      </x:c>
      <x:c r="D209" s="59"/>
      <x:c r="E209" s="73"/>
      <x:c r="F209" s="73"/>
      <x:c r="G209" s="63"/>
      <x:c r="H209" s="61" t="str">
        <x:f>IF(B209="","",IFERROR(VLOOKUP(B209,Proveedores!$B$6:$K$205,10,FALSE),""))</x:f>
      </x:c>
      <x:c r="I209" s="24"/>
      <x:c r="J209" s="24"/>
      <x:c r="K209" s="59"/>
      <x:c r="L209" s="71"/>
      <x:c r="M209" s="115" t="str">
        <x:f>IF(B209="","",IFERROR(VLOOKUP(B209,Proveedores!$B$6:$L$205,11,FALSE),1))</x:f>
      </x:c>
      <x:c r="N209" s="115" t="str">
        <x:f>IF(G209="","",G209*IF(M209="",1,M209))</x:f>
      </x:c>
    </x:row>
    <x:row r="210">
      <x:c r="A210" s="61"/>
      <x:c r="B210" s="24"/>
      <x:c r="C210" s="61" t="str">
        <x:f>IF(B210="","",IFERROR(VLOOKUP(B210,Proveedores!$B$6:$C$205,2,FALSE),""))</x:f>
      </x:c>
      <x:c r="D210" s="59"/>
      <x:c r="E210" s="73"/>
      <x:c r="F210" s="73"/>
      <x:c r="G210" s="63"/>
      <x:c r="H210" s="61" t="str">
        <x:f>IF(B210="","",IFERROR(VLOOKUP(B210,Proveedores!$B$6:$K$205,10,FALSE),""))</x:f>
      </x:c>
      <x:c r="I210" s="24"/>
      <x:c r="J210" s="24"/>
      <x:c r="K210" s="59"/>
      <x:c r="L210" s="71"/>
      <x:c r="M210" s="115" t="str">
        <x:f>IF(B210="","",IFERROR(VLOOKUP(B210,Proveedores!$B$6:$L$205,11,FALSE),1))</x:f>
      </x:c>
      <x:c r="N210" s="115" t="str">
        <x:f>IF(G210="","",G210*IF(M210="",1,M210))</x:f>
      </x:c>
    </x:row>
    <x:row r="211">
      <x:c r="A211" s="61"/>
      <x:c r="B211" s="24"/>
      <x:c r="C211" s="61" t="str">
        <x:f>IF(B211="","",IFERROR(VLOOKUP(B211,Proveedores!$B$6:$C$205,2,FALSE),""))</x:f>
      </x:c>
      <x:c r="D211" s="59"/>
      <x:c r="E211" s="73"/>
      <x:c r="F211" s="73"/>
      <x:c r="G211" s="63"/>
      <x:c r="H211" s="61" t="str">
        <x:f>IF(B211="","",IFERROR(VLOOKUP(B211,Proveedores!$B$6:$K$205,10,FALSE),""))</x:f>
      </x:c>
      <x:c r="I211" s="24"/>
      <x:c r="J211" s="24"/>
      <x:c r="K211" s="59"/>
      <x:c r="L211" s="71"/>
      <x:c r="M211" s="115" t="str">
        <x:f>IF(B211="","",IFERROR(VLOOKUP(B211,Proveedores!$B$6:$L$205,11,FALSE),1))</x:f>
      </x:c>
      <x:c r="N211" s="115" t="str">
        <x:f>IF(G211="","",G211*IF(M211="",1,M211))</x:f>
      </x:c>
    </x:row>
    <x:row r="212">
      <x:c r="A212" s="61"/>
      <x:c r="B212" s="24"/>
      <x:c r="C212" s="61" t="str">
        <x:f>IF(B212="","",IFERROR(VLOOKUP(B212,Proveedores!$B$6:$C$205,2,FALSE),""))</x:f>
      </x:c>
      <x:c r="D212" s="59"/>
      <x:c r="E212" s="73"/>
      <x:c r="F212" s="73"/>
      <x:c r="G212" s="63"/>
      <x:c r="H212" s="61" t="str">
        <x:f>IF(B212="","",IFERROR(VLOOKUP(B212,Proveedores!$B$6:$K$205,10,FALSE),""))</x:f>
      </x:c>
      <x:c r="I212" s="24"/>
      <x:c r="J212" s="24"/>
      <x:c r="K212" s="59"/>
      <x:c r="L212" s="71"/>
      <x:c r="M212" s="115" t="str">
        <x:f>IF(B212="","",IFERROR(VLOOKUP(B212,Proveedores!$B$6:$L$205,11,FALSE),1))</x:f>
      </x:c>
      <x:c r="N212" s="115" t="str">
        <x:f>IF(G212="","",G212*IF(M212="",1,M212))</x:f>
      </x:c>
    </x:row>
    <x:row r="213">
      <x:c r="A213" s="61"/>
      <x:c r="B213" s="24"/>
      <x:c r="C213" s="61" t="str">
        <x:f>IF(B213="","",IFERROR(VLOOKUP(B213,Proveedores!$B$6:$C$205,2,FALSE),""))</x:f>
      </x:c>
      <x:c r="D213" s="59"/>
      <x:c r="E213" s="73"/>
      <x:c r="F213" s="73"/>
      <x:c r="G213" s="63"/>
      <x:c r="H213" s="61" t="str">
        <x:f>IF(B213="","",IFERROR(VLOOKUP(B213,Proveedores!$B$6:$K$205,10,FALSE),""))</x:f>
      </x:c>
      <x:c r="I213" s="24"/>
      <x:c r="J213" s="24"/>
      <x:c r="K213" s="59"/>
      <x:c r="L213" s="71"/>
      <x:c r="M213" s="115" t="str">
        <x:f>IF(B213="","",IFERROR(VLOOKUP(B213,Proveedores!$B$6:$L$205,11,FALSE),1))</x:f>
      </x:c>
      <x:c r="N213" s="115" t="str">
        <x:f>IF(G213="","",G213*IF(M213="",1,M213))</x:f>
      </x:c>
    </x:row>
    <x:row r="214">
      <x:c r="A214" s="61"/>
      <x:c r="B214" s="24"/>
      <x:c r="C214" s="61" t="str">
        <x:f>IF(B214="","",IFERROR(VLOOKUP(B214,Proveedores!$B$6:$C$205,2,FALSE),""))</x:f>
      </x:c>
      <x:c r="D214" s="59"/>
      <x:c r="E214" s="73"/>
      <x:c r="F214" s="73"/>
      <x:c r="G214" s="63"/>
      <x:c r="H214" s="61" t="str">
        <x:f>IF(B214="","",IFERROR(VLOOKUP(B214,Proveedores!$B$6:$K$205,10,FALSE),""))</x:f>
      </x:c>
      <x:c r="I214" s="24"/>
      <x:c r="J214" s="24"/>
      <x:c r="K214" s="59"/>
      <x:c r="L214" s="71"/>
      <x:c r="M214" s="115" t="str">
        <x:f>IF(B214="","",IFERROR(VLOOKUP(B214,Proveedores!$B$6:$L$205,11,FALSE),1))</x:f>
      </x:c>
      <x:c r="N214" s="115" t="str">
        <x:f>IF(G214="","",G214*IF(M214="",1,M214))</x:f>
      </x:c>
    </x:row>
    <x:row r="215">
      <x:c r="A215" s="61"/>
      <x:c r="B215" s="24"/>
      <x:c r="C215" s="61" t="str">
        <x:f>IF(B215="","",IFERROR(VLOOKUP(B215,Proveedores!$B$6:$C$205,2,FALSE),""))</x:f>
      </x:c>
      <x:c r="D215" s="59"/>
      <x:c r="E215" s="73"/>
      <x:c r="F215" s="73"/>
      <x:c r="G215" s="63"/>
      <x:c r="H215" s="61" t="str">
        <x:f>IF(B215="","",IFERROR(VLOOKUP(B215,Proveedores!$B$6:$K$205,10,FALSE),""))</x:f>
      </x:c>
      <x:c r="I215" s="24"/>
      <x:c r="J215" s="24"/>
      <x:c r="K215" s="59"/>
      <x:c r="L215" s="71"/>
      <x:c r="M215" s="115" t="str">
        <x:f>IF(B215="","",IFERROR(VLOOKUP(B215,Proveedores!$B$6:$L$205,11,FALSE),1))</x:f>
      </x:c>
      <x:c r="N215" s="115" t="str">
        <x:f>IF(G215="","",G215*IF(M215="",1,M215))</x:f>
      </x:c>
    </x:row>
    <x:row r="216">
      <x:c r="A216" s="61"/>
      <x:c r="B216" s="24"/>
      <x:c r="C216" s="61" t="str">
        <x:f>IF(B216="","",IFERROR(VLOOKUP(B216,Proveedores!$B$6:$C$205,2,FALSE),""))</x:f>
      </x:c>
      <x:c r="D216" s="59"/>
      <x:c r="E216" s="73"/>
      <x:c r="F216" s="73"/>
      <x:c r="G216" s="63"/>
      <x:c r="H216" s="61" t="str">
        <x:f>IF(B216="","",IFERROR(VLOOKUP(B216,Proveedores!$B$6:$K$205,10,FALSE),""))</x:f>
      </x:c>
      <x:c r="I216" s="24"/>
      <x:c r="J216" s="24"/>
      <x:c r="K216" s="59"/>
      <x:c r="L216" s="71"/>
      <x:c r="M216" s="115" t="str">
        <x:f>IF(B216="","",IFERROR(VLOOKUP(B216,Proveedores!$B$6:$L$205,11,FALSE),1))</x:f>
      </x:c>
      <x:c r="N216" s="115" t="str">
        <x:f>IF(G216="","",G216*IF(M216="",1,M216))</x:f>
      </x:c>
    </x:row>
    <x:row r="217">
      <x:c r="A217" s="61"/>
      <x:c r="B217" s="24"/>
      <x:c r="C217" s="61" t="str">
        <x:f>IF(B217="","",IFERROR(VLOOKUP(B217,Proveedores!$B$6:$C$205,2,FALSE),""))</x:f>
      </x:c>
      <x:c r="D217" s="59"/>
      <x:c r="E217" s="73"/>
      <x:c r="F217" s="73"/>
      <x:c r="G217" s="63"/>
      <x:c r="H217" s="61" t="str">
        <x:f>IF(B217="","",IFERROR(VLOOKUP(B217,Proveedores!$B$6:$K$205,10,FALSE),""))</x:f>
      </x:c>
      <x:c r="I217" s="24"/>
      <x:c r="J217" s="24"/>
      <x:c r="K217" s="59"/>
      <x:c r="L217" s="71"/>
      <x:c r="M217" s="115" t="str">
        <x:f>IF(B217="","",IFERROR(VLOOKUP(B217,Proveedores!$B$6:$L$205,11,FALSE),1))</x:f>
      </x:c>
      <x:c r="N217" s="115" t="str">
        <x:f>IF(G217="","",G217*IF(M217="",1,M217))</x:f>
      </x:c>
    </x:row>
    <x:row r="218">
      <x:c r="A218" s="61"/>
      <x:c r="B218" s="24"/>
      <x:c r="C218" s="61" t="str">
        <x:f>IF(B218="","",IFERROR(VLOOKUP(B218,Proveedores!$B$6:$C$205,2,FALSE),""))</x:f>
      </x:c>
      <x:c r="D218" s="59"/>
      <x:c r="E218" s="73"/>
      <x:c r="F218" s="73"/>
      <x:c r="G218" s="63"/>
      <x:c r="H218" s="61" t="str">
        <x:f>IF(B218="","",IFERROR(VLOOKUP(B218,Proveedores!$B$6:$K$205,10,FALSE),""))</x:f>
      </x:c>
      <x:c r="I218" s="24"/>
      <x:c r="J218" s="24"/>
      <x:c r="K218" s="59"/>
      <x:c r="L218" s="71"/>
      <x:c r="M218" s="115" t="str">
        <x:f>IF(B218="","",IFERROR(VLOOKUP(B218,Proveedores!$B$6:$L$205,11,FALSE),1))</x:f>
      </x:c>
      <x:c r="N218" s="115" t="str">
        <x:f>IF(G218="","",G218*IF(M218="",1,M218))</x:f>
      </x:c>
    </x:row>
    <x:row r="219">
      <x:c r="A219" s="61"/>
      <x:c r="B219" s="24"/>
      <x:c r="C219" s="61" t="str">
        <x:f>IF(B219="","",IFERROR(VLOOKUP(B219,Proveedores!$B$6:$C$205,2,FALSE),""))</x:f>
      </x:c>
      <x:c r="D219" s="59"/>
      <x:c r="E219" s="73"/>
      <x:c r="F219" s="73"/>
      <x:c r="G219" s="63"/>
      <x:c r="H219" s="61" t="str">
        <x:f>IF(B219="","",IFERROR(VLOOKUP(B219,Proveedores!$B$6:$K$205,10,FALSE),""))</x:f>
      </x:c>
      <x:c r="I219" s="24"/>
      <x:c r="J219" s="24"/>
      <x:c r="K219" s="59"/>
      <x:c r="L219" s="71"/>
      <x:c r="M219" s="115" t="str">
        <x:f>IF(B219="","",IFERROR(VLOOKUP(B219,Proveedores!$B$6:$L$205,11,FALSE),1))</x:f>
      </x:c>
      <x:c r="N219" s="115" t="str">
        <x:f>IF(G219="","",G219*IF(M219="",1,M219))</x:f>
      </x:c>
    </x:row>
    <x:row r="220">
      <x:c r="A220" s="61"/>
      <x:c r="B220" s="24"/>
      <x:c r="C220" s="61" t="str">
        <x:f>IF(B220="","",IFERROR(VLOOKUP(B220,Proveedores!$B$6:$C$205,2,FALSE),""))</x:f>
      </x:c>
      <x:c r="D220" s="59"/>
      <x:c r="E220" s="73"/>
      <x:c r="F220" s="73"/>
      <x:c r="G220" s="63"/>
      <x:c r="H220" s="61" t="str">
        <x:f>IF(B220="","",IFERROR(VLOOKUP(B220,Proveedores!$B$6:$K$205,10,FALSE),""))</x:f>
      </x:c>
      <x:c r="I220" s="24"/>
      <x:c r="J220" s="24"/>
      <x:c r="K220" s="59"/>
      <x:c r="L220" s="71"/>
      <x:c r="M220" s="115" t="str">
        <x:f>IF(B220="","",IFERROR(VLOOKUP(B220,Proveedores!$B$6:$L$205,11,FALSE),1))</x:f>
      </x:c>
      <x:c r="N220" s="115" t="str">
        <x:f>IF(G220="","",G220*IF(M220="",1,M220))</x:f>
      </x:c>
    </x:row>
    <x:row r="221">
      <x:c r="A221" s="61"/>
      <x:c r="B221" s="24"/>
      <x:c r="C221" s="61" t="str">
        <x:f>IF(B221="","",IFERROR(VLOOKUP(B221,Proveedores!$B$6:$C$205,2,FALSE),""))</x:f>
      </x:c>
      <x:c r="D221" s="59"/>
      <x:c r="E221" s="73"/>
      <x:c r="F221" s="73"/>
      <x:c r="G221" s="63"/>
      <x:c r="H221" s="61" t="str">
        <x:f>IF(B221="","",IFERROR(VLOOKUP(B221,Proveedores!$B$6:$K$205,10,FALSE),""))</x:f>
      </x:c>
      <x:c r="I221" s="24"/>
      <x:c r="J221" s="24"/>
      <x:c r="K221" s="59"/>
      <x:c r="L221" s="71"/>
      <x:c r="M221" s="115" t="str">
        <x:f>IF(B221="","",IFERROR(VLOOKUP(B221,Proveedores!$B$6:$L$205,11,FALSE),1))</x:f>
      </x:c>
      <x:c r="N221" s="115" t="str">
        <x:f>IF(G221="","",G221*IF(M221="",1,M221))</x:f>
      </x:c>
    </x:row>
    <x:row r="222">
      <x:c r="A222" s="61"/>
      <x:c r="B222" s="24"/>
      <x:c r="C222" s="61" t="str">
        <x:f>IF(B222="","",IFERROR(VLOOKUP(B222,Proveedores!$B$6:$C$205,2,FALSE),""))</x:f>
      </x:c>
      <x:c r="D222" s="59"/>
      <x:c r="E222" s="73"/>
      <x:c r="F222" s="73"/>
      <x:c r="G222" s="63"/>
      <x:c r="H222" s="61" t="str">
        <x:f>IF(B222="","",IFERROR(VLOOKUP(B222,Proveedores!$B$6:$K$205,10,FALSE),""))</x:f>
      </x:c>
      <x:c r="I222" s="24"/>
      <x:c r="J222" s="24"/>
      <x:c r="K222" s="59"/>
      <x:c r="L222" s="71"/>
      <x:c r="M222" s="115" t="str">
        <x:f>IF(B222="","",IFERROR(VLOOKUP(B222,Proveedores!$B$6:$L$205,11,FALSE),1))</x:f>
      </x:c>
      <x:c r="N222" s="115" t="str">
        <x:f>IF(G222="","",G222*IF(M222="",1,M222))</x:f>
      </x:c>
    </x:row>
    <x:row r="223">
      <x:c r="A223" s="61"/>
      <x:c r="B223" s="24"/>
      <x:c r="C223" s="61" t="str">
        <x:f>IF(B223="","",IFERROR(VLOOKUP(B223,Proveedores!$B$6:$C$205,2,FALSE),""))</x:f>
      </x:c>
      <x:c r="D223" s="59"/>
      <x:c r="E223" s="73"/>
      <x:c r="F223" s="73"/>
      <x:c r="G223" s="63"/>
      <x:c r="H223" s="61" t="str">
        <x:f>IF(B223="","",IFERROR(VLOOKUP(B223,Proveedores!$B$6:$K$205,10,FALSE),""))</x:f>
      </x:c>
      <x:c r="I223" s="24"/>
      <x:c r="J223" s="24"/>
      <x:c r="K223" s="59"/>
      <x:c r="L223" s="71"/>
      <x:c r="M223" s="115" t="str">
        <x:f>IF(B223="","",IFERROR(VLOOKUP(B223,Proveedores!$B$6:$L$205,11,FALSE),1))</x:f>
      </x:c>
      <x:c r="N223" s="115" t="str">
        <x:f>IF(G223="","",G223*IF(M223="",1,M223))</x:f>
      </x:c>
    </x:row>
    <x:row r="224">
      <x:c r="A224" s="61"/>
      <x:c r="B224" s="24"/>
      <x:c r="C224" s="61" t="str">
        <x:f>IF(B224="","",IFERROR(VLOOKUP(B224,Proveedores!$B$6:$C$205,2,FALSE),""))</x:f>
      </x:c>
      <x:c r="D224" s="59"/>
      <x:c r="E224" s="73"/>
      <x:c r="F224" s="73"/>
      <x:c r="G224" s="63"/>
      <x:c r="H224" s="61" t="str">
        <x:f>IF(B224="","",IFERROR(VLOOKUP(B224,Proveedores!$B$6:$K$205,10,FALSE),""))</x:f>
      </x:c>
      <x:c r="I224" s="24"/>
      <x:c r="J224" s="24"/>
      <x:c r="K224" s="59"/>
      <x:c r="L224" s="71"/>
      <x:c r="M224" s="115" t="str">
        <x:f>IF(B224="","",IFERROR(VLOOKUP(B224,Proveedores!$B$6:$L$205,11,FALSE),1))</x:f>
      </x:c>
      <x:c r="N224" s="115" t="str">
        <x:f>IF(G224="","",G224*IF(M224="",1,M224))</x:f>
      </x:c>
    </x:row>
    <x:row r="225">
      <x:c r="A225" s="61"/>
      <x:c r="B225" s="24"/>
      <x:c r="C225" s="61" t="str">
        <x:f>IF(B225="","",IFERROR(VLOOKUP(B225,Proveedores!$B$6:$C$205,2,FALSE),""))</x:f>
      </x:c>
      <x:c r="D225" s="59"/>
      <x:c r="E225" s="73"/>
      <x:c r="F225" s="73"/>
      <x:c r="G225" s="63"/>
      <x:c r="H225" s="61" t="str">
        <x:f>IF(B225="","",IFERROR(VLOOKUP(B225,Proveedores!$B$6:$K$205,10,FALSE),""))</x:f>
      </x:c>
      <x:c r="I225" s="24"/>
      <x:c r="J225" s="24"/>
      <x:c r="K225" s="59"/>
      <x:c r="L225" s="71"/>
      <x:c r="M225" s="115" t="str">
        <x:f>IF(B225="","",IFERROR(VLOOKUP(B225,Proveedores!$B$6:$L$205,11,FALSE),1))</x:f>
      </x:c>
      <x:c r="N225" s="115" t="str">
        <x:f>IF(G225="","",G225*IF(M225="",1,M225))</x:f>
      </x:c>
    </x:row>
    <x:row r="226">
      <x:c r="A226" s="61"/>
      <x:c r="B226" s="24"/>
      <x:c r="C226" s="61" t="str">
        <x:f>IF(B226="","",IFERROR(VLOOKUP(B226,Proveedores!$B$6:$C$205,2,FALSE),""))</x:f>
      </x:c>
      <x:c r="D226" s="59"/>
      <x:c r="E226" s="73"/>
      <x:c r="F226" s="73"/>
      <x:c r="G226" s="63"/>
      <x:c r="H226" s="61" t="str">
        <x:f>IF(B226="","",IFERROR(VLOOKUP(B226,Proveedores!$B$6:$K$205,10,FALSE),""))</x:f>
      </x:c>
      <x:c r="I226" s="24"/>
      <x:c r="J226" s="24"/>
      <x:c r="K226" s="59"/>
      <x:c r="L226" s="71"/>
      <x:c r="M226" s="115" t="str">
        <x:f>IF(B226="","",IFERROR(VLOOKUP(B226,Proveedores!$B$6:$L$205,11,FALSE),1))</x:f>
      </x:c>
      <x:c r="N226" s="115" t="str">
        <x:f>IF(G226="","",G226*IF(M226="",1,M226))</x:f>
      </x:c>
    </x:row>
    <x:row r="227">
      <x:c r="A227" s="61"/>
      <x:c r="B227" s="24"/>
      <x:c r="C227" s="61" t="str">
        <x:f>IF(B227="","",IFERROR(VLOOKUP(B227,Proveedores!$B$6:$C$205,2,FALSE),""))</x:f>
      </x:c>
      <x:c r="D227" s="59"/>
      <x:c r="E227" s="73"/>
      <x:c r="F227" s="73"/>
      <x:c r="G227" s="63"/>
      <x:c r="H227" s="61" t="str">
        <x:f>IF(B227="","",IFERROR(VLOOKUP(B227,Proveedores!$B$6:$K$205,10,FALSE),""))</x:f>
      </x:c>
      <x:c r="I227" s="24"/>
      <x:c r="J227" s="24"/>
      <x:c r="K227" s="59"/>
      <x:c r="L227" s="71"/>
      <x:c r="M227" s="115" t="str">
        <x:f>IF(B227="","",IFERROR(VLOOKUP(B227,Proveedores!$B$6:$L$205,11,FALSE),1))</x:f>
      </x:c>
      <x:c r="N227" s="115" t="str">
        <x:f>IF(G227="","",G227*IF(M227="",1,M227))</x:f>
      </x:c>
    </x:row>
    <x:row r="228">
      <x:c r="A228" s="61"/>
      <x:c r="B228" s="24"/>
      <x:c r="C228" s="61" t="str">
        <x:f>IF(B228="","",IFERROR(VLOOKUP(B228,Proveedores!$B$6:$C$205,2,FALSE),""))</x:f>
      </x:c>
      <x:c r="D228" s="59"/>
      <x:c r="E228" s="73"/>
      <x:c r="F228" s="73"/>
      <x:c r="G228" s="63"/>
      <x:c r="H228" s="61" t="str">
        <x:f>IF(B228="","",IFERROR(VLOOKUP(B228,Proveedores!$B$6:$K$205,10,FALSE),""))</x:f>
      </x:c>
      <x:c r="I228" s="24"/>
      <x:c r="J228" s="24"/>
      <x:c r="K228" s="59"/>
      <x:c r="L228" s="71"/>
      <x:c r="M228" s="115" t="str">
        <x:f>IF(B228="","",IFERROR(VLOOKUP(B228,Proveedores!$B$6:$L$205,11,FALSE),1))</x:f>
      </x:c>
      <x:c r="N228" s="115" t="str">
        <x:f>IF(G228="","",G228*IF(M228="",1,M228))</x:f>
      </x:c>
    </x:row>
    <x:row r="229">
      <x:c r="A229" s="61"/>
      <x:c r="B229" s="24"/>
      <x:c r="C229" s="61" t="str">
        <x:f>IF(B229="","",IFERROR(VLOOKUP(B229,Proveedores!$B$6:$C$205,2,FALSE),""))</x:f>
      </x:c>
      <x:c r="D229" s="59"/>
      <x:c r="E229" s="73"/>
      <x:c r="F229" s="73"/>
      <x:c r="G229" s="63"/>
      <x:c r="H229" s="61" t="str">
        <x:f>IF(B229="","",IFERROR(VLOOKUP(B229,Proveedores!$B$6:$K$205,10,FALSE),""))</x:f>
      </x:c>
      <x:c r="I229" s="24"/>
      <x:c r="J229" s="24"/>
      <x:c r="K229" s="59"/>
      <x:c r="L229" s="71"/>
      <x:c r="M229" s="115" t="str">
        <x:f>IF(B229="","",IFERROR(VLOOKUP(B229,Proveedores!$B$6:$L$205,11,FALSE),1))</x:f>
      </x:c>
      <x:c r="N229" s="115" t="str">
        <x:f>IF(G229="","",G229*IF(M229="",1,M229))</x:f>
      </x:c>
    </x:row>
    <x:row r="230">
      <x:c r="A230" s="61"/>
      <x:c r="B230" s="24"/>
      <x:c r="C230" s="61" t="str">
        <x:f>IF(B230="","",IFERROR(VLOOKUP(B230,Proveedores!$B$6:$C$205,2,FALSE),""))</x:f>
      </x:c>
      <x:c r="D230" s="59"/>
      <x:c r="E230" s="73"/>
      <x:c r="F230" s="73"/>
      <x:c r="G230" s="63"/>
      <x:c r="H230" s="61" t="str">
        <x:f>IF(B230="","",IFERROR(VLOOKUP(B230,Proveedores!$B$6:$K$205,10,FALSE),""))</x:f>
      </x:c>
      <x:c r="I230" s="24"/>
      <x:c r="J230" s="24"/>
      <x:c r="K230" s="59"/>
      <x:c r="L230" s="71"/>
      <x:c r="M230" s="115" t="str">
        <x:f>IF(B230="","",IFERROR(VLOOKUP(B230,Proveedores!$B$6:$L$205,11,FALSE),1))</x:f>
      </x:c>
      <x:c r="N230" s="115" t="str">
        <x:f>IF(G230="","",G230*IF(M230="",1,M230))</x:f>
      </x:c>
    </x:row>
    <x:row r="231">
      <x:c r="A231" s="61"/>
      <x:c r="B231" s="24"/>
      <x:c r="C231" s="61" t="str">
        <x:f>IF(B231="","",IFERROR(VLOOKUP(B231,Proveedores!$B$6:$C$205,2,FALSE),""))</x:f>
      </x:c>
      <x:c r="D231" s="59"/>
      <x:c r="E231" s="73"/>
      <x:c r="F231" s="73"/>
      <x:c r="G231" s="63"/>
      <x:c r="H231" s="61" t="str">
        <x:f>IF(B231="","",IFERROR(VLOOKUP(B231,Proveedores!$B$6:$K$205,10,FALSE),""))</x:f>
      </x:c>
      <x:c r="I231" s="24"/>
      <x:c r="J231" s="24"/>
      <x:c r="K231" s="59"/>
      <x:c r="L231" s="71"/>
      <x:c r="M231" s="115" t="str">
        <x:f>IF(B231="","",IFERROR(VLOOKUP(B231,Proveedores!$B$6:$L$205,11,FALSE),1))</x:f>
      </x:c>
      <x:c r="N231" s="115" t="str">
        <x:f>IF(G231="","",G231*IF(M231="",1,M231))</x:f>
      </x:c>
    </x:row>
    <x:row r="232">
      <x:c r="A232" s="61"/>
      <x:c r="B232" s="24"/>
      <x:c r="C232" s="61" t="str">
        <x:f>IF(B232="","",IFERROR(VLOOKUP(B232,Proveedores!$B$6:$C$205,2,FALSE),""))</x:f>
      </x:c>
      <x:c r="D232" s="59"/>
      <x:c r="E232" s="73"/>
      <x:c r="F232" s="73"/>
      <x:c r="G232" s="63"/>
      <x:c r="H232" s="61" t="str">
        <x:f>IF(B232="","",IFERROR(VLOOKUP(B232,Proveedores!$B$6:$K$205,10,FALSE),""))</x:f>
      </x:c>
      <x:c r="I232" s="24"/>
      <x:c r="J232" s="24"/>
      <x:c r="K232" s="59"/>
      <x:c r="L232" s="71"/>
      <x:c r="M232" s="115" t="str">
        <x:f>IF(B232="","",IFERROR(VLOOKUP(B232,Proveedores!$B$6:$L$205,11,FALSE),1))</x:f>
      </x:c>
      <x:c r="N232" s="115" t="str">
        <x:f>IF(G232="","",G232*IF(M232="",1,M232))</x:f>
      </x:c>
    </x:row>
    <x:row r="233">
      <x:c r="A233" s="61"/>
      <x:c r="B233" s="24"/>
      <x:c r="C233" s="61" t="str">
        <x:f>IF(B233="","",IFERROR(VLOOKUP(B233,Proveedores!$B$6:$C$205,2,FALSE),""))</x:f>
      </x:c>
      <x:c r="D233" s="59"/>
      <x:c r="E233" s="73"/>
      <x:c r="F233" s="73"/>
      <x:c r="G233" s="63"/>
      <x:c r="H233" s="61" t="str">
        <x:f>IF(B233="","",IFERROR(VLOOKUP(B233,Proveedores!$B$6:$K$205,10,FALSE),""))</x:f>
      </x:c>
      <x:c r="I233" s="24"/>
      <x:c r="J233" s="24"/>
      <x:c r="K233" s="59"/>
      <x:c r="L233" s="71"/>
      <x:c r="M233" s="115" t="str">
        <x:f>IF(B233="","",IFERROR(VLOOKUP(B233,Proveedores!$B$6:$L$205,11,FALSE),1))</x:f>
      </x:c>
      <x:c r="N233" s="115" t="str">
        <x:f>IF(G233="","",G233*IF(M233="",1,M233))</x:f>
      </x:c>
    </x:row>
    <x:row r="234">
      <x:c r="A234" s="61"/>
      <x:c r="B234" s="24"/>
      <x:c r="C234" s="61" t="str">
        <x:f>IF(B234="","",IFERROR(VLOOKUP(B234,Proveedores!$B$6:$C$205,2,FALSE),""))</x:f>
      </x:c>
      <x:c r="D234" s="59"/>
      <x:c r="E234" s="73"/>
      <x:c r="F234" s="73"/>
      <x:c r="G234" s="63"/>
      <x:c r="H234" s="61" t="str">
        <x:f>IF(B234="","",IFERROR(VLOOKUP(B234,Proveedores!$B$6:$K$205,10,FALSE),""))</x:f>
      </x:c>
      <x:c r="I234" s="24"/>
      <x:c r="J234" s="24"/>
      <x:c r="K234" s="59"/>
      <x:c r="L234" s="71"/>
      <x:c r="M234" s="115" t="str">
        <x:f>IF(B234="","",IFERROR(VLOOKUP(B234,Proveedores!$B$6:$L$205,11,FALSE),1))</x:f>
      </x:c>
      <x:c r="N234" s="115" t="str">
        <x:f>IF(G234="","",G234*IF(M234="",1,M234))</x:f>
      </x:c>
    </x:row>
    <x:row r="235">
      <x:c r="A235" s="61"/>
      <x:c r="B235" s="24"/>
      <x:c r="C235" s="61" t="str">
        <x:f>IF(B235="","",IFERROR(VLOOKUP(B235,Proveedores!$B$6:$C$205,2,FALSE),""))</x:f>
      </x:c>
      <x:c r="D235" s="59"/>
      <x:c r="E235" s="73"/>
      <x:c r="F235" s="73"/>
      <x:c r="G235" s="63"/>
      <x:c r="H235" s="61" t="str">
        <x:f>IF(B235="","",IFERROR(VLOOKUP(B235,Proveedores!$B$6:$K$205,10,FALSE),""))</x:f>
      </x:c>
      <x:c r="I235" s="24"/>
      <x:c r="J235" s="24"/>
      <x:c r="K235" s="59"/>
      <x:c r="L235" s="71"/>
      <x:c r="M235" s="115" t="str">
        <x:f>IF(B235="","",IFERROR(VLOOKUP(B235,Proveedores!$B$6:$L$205,11,FALSE),1))</x:f>
      </x:c>
      <x:c r="N235" s="115" t="str">
        <x:f>IF(G235="","",G235*IF(M235="",1,M235))</x:f>
      </x:c>
    </x:row>
    <x:row r="236">
      <x:c r="A236" s="61"/>
      <x:c r="B236" s="24"/>
      <x:c r="C236" s="61" t="str">
        <x:f>IF(B236="","",IFERROR(VLOOKUP(B236,Proveedores!$B$6:$C$205,2,FALSE),""))</x:f>
      </x:c>
      <x:c r="D236" s="59"/>
      <x:c r="E236" s="73"/>
      <x:c r="F236" s="73"/>
      <x:c r="G236" s="63"/>
      <x:c r="H236" s="61" t="str">
        <x:f>IF(B236="","",IFERROR(VLOOKUP(B236,Proveedores!$B$6:$K$205,10,FALSE),""))</x:f>
      </x:c>
      <x:c r="I236" s="24"/>
      <x:c r="J236" s="24"/>
      <x:c r="K236" s="59"/>
      <x:c r="L236" s="71"/>
      <x:c r="M236" s="115" t="str">
        <x:f>IF(B236="","",IFERROR(VLOOKUP(B236,Proveedores!$B$6:$L$205,11,FALSE),1))</x:f>
      </x:c>
      <x:c r="N236" s="115" t="str">
        <x:f>IF(G236="","",G236*IF(M236="",1,M236))</x:f>
      </x:c>
    </x:row>
    <x:row r="237">
      <x:c r="A237" s="61"/>
      <x:c r="B237" s="24"/>
      <x:c r="C237" s="61" t="str">
        <x:f>IF(B237="","",IFERROR(VLOOKUP(B237,Proveedores!$B$6:$C$205,2,FALSE),""))</x:f>
      </x:c>
      <x:c r="D237" s="59"/>
      <x:c r="E237" s="73"/>
      <x:c r="F237" s="73"/>
      <x:c r="G237" s="63"/>
      <x:c r="H237" s="61" t="str">
        <x:f>IF(B237="","",IFERROR(VLOOKUP(B237,Proveedores!$B$6:$K$205,10,FALSE),""))</x:f>
      </x:c>
      <x:c r="I237" s="24"/>
      <x:c r="J237" s="24"/>
      <x:c r="K237" s="59"/>
      <x:c r="L237" s="71"/>
      <x:c r="M237" s="115" t="str">
        <x:f>IF(B237="","",IFERROR(VLOOKUP(B237,Proveedores!$B$6:$L$205,11,FALSE),1))</x:f>
      </x:c>
      <x:c r="N237" s="115" t="str">
        <x:f>IF(G237="","",G237*IF(M237="",1,M237))</x:f>
      </x:c>
    </x:row>
    <x:row r="238">
      <x:c r="A238" s="61"/>
      <x:c r="B238" s="24"/>
      <x:c r="C238" s="61" t="str">
        <x:f>IF(B238="","",IFERROR(VLOOKUP(B238,Proveedores!$B$6:$C$205,2,FALSE),""))</x:f>
      </x:c>
      <x:c r="D238" s="59"/>
      <x:c r="E238" s="73"/>
      <x:c r="F238" s="73"/>
      <x:c r="G238" s="63"/>
      <x:c r="H238" s="61" t="str">
        <x:f>IF(B238="","",IFERROR(VLOOKUP(B238,Proveedores!$B$6:$K$205,10,FALSE),""))</x:f>
      </x:c>
      <x:c r="I238" s="24"/>
      <x:c r="J238" s="24"/>
      <x:c r="K238" s="59"/>
      <x:c r="L238" s="71"/>
      <x:c r="M238" s="115" t="str">
        <x:f>IF(B238="","",IFERROR(VLOOKUP(B238,Proveedores!$B$6:$L$205,11,FALSE),1))</x:f>
      </x:c>
      <x:c r="N238" s="115" t="str">
        <x:f>IF(G238="","",G238*IF(M238="",1,M238))</x:f>
      </x:c>
    </x:row>
    <x:row r="239">
      <x:c r="A239" s="61"/>
      <x:c r="B239" s="24"/>
      <x:c r="C239" s="61" t="str">
        <x:f>IF(B239="","",IFERROR(VLOOKUP(B239,Proveedores!$B$6:$C$205,2,FALSE),""))</x:f>
      </x:c>
      <x:c r="D239" s="59"/>
      <x:c r="E239" s="73"/>
      <x:c r="F239" s="73"/>
      <x:c r="G239" s="63"/>
      <x:c r="H239" s="61" t="str">
        <x:f>IF(B239="","",IFERROR(VLOOKUP(B239,Proveedores!$B$6:$K$205,10,FALSE),""))</x:f>
      </x:c>
      <x:c r="I239" s="24"/>
      <x:c r="J239" s="24"/>
      <x:c r="K239" s="59"/>
      <x:c r="L239" s="71"/>
      <x:c r="M239" s="115" t="str">
        <x:f>IF(B239="","",IFERROR(VLOOKUP(B239,Proveedores!$B$6:$L$205,11,FALSE),1))</x:f>
      </x:c>
      <x:c r="N239" s="115" t="str">
        <x:f>IF(G239="","",G239*IF(M239="",1,M239))</x:f>
      </x:c>
    </x:row>
    <x:row r="240">
      <x:c r="A240" s="61"/>
      <x:c r="B240" s="24"/>
      <x:c r="C240" s="61" t="str">
        <x:f>IF(B240="","",IFERROR(VLOOKUP(B240,Proveedores!$B$6:$C$205,2,FALSE),""))</x:f>
      </x:c>
      <x:c r="D240" s="59"/>
      <x:c r="E240" s="73"/>
      <x:c r="F240" s="73"/>
      <x:c r="G240" s="63"/>
      <x:c r="H240" s="61" t="str">
        <x:f>IF(B240="","",IFERROR(VLOOKUP(B240,Proveedores!$B$6:$K$205,10,FALSE),""))</x:f>
      </x:c>
      <x:c r="I240" s="24"/>
      <x:c r="J240" s="24"/>
      <x:c r="K240" s="59"/>
      <x:c r="L240" s="71"/>
      <x:c r="M240" s="115" t="str">
        <x:f>IF(B240="","",IFERROR(VLOOKUP(B240,Proveedores!$B$6:$L$205,11,FALSE),1))</x:f>
      </x:c>
      <x:c r="N240" s="115" t="str">
        <x:f>IF(G240="","",G240*IF(M240="",1,M240))</x:f>
      </x:c>
    </x:row>
    <x:row r="241">
      <x:c r="A241" s="61"/>
      <x:c r="B241" s="24"/>
      <x:c r="C241" s="61" t="str">
        <x:f>IF(B241="","",IFERROR(VLOOKUP(B241,Proveedores!$B$6:$C$205,2,FALSE),""))</x:f>
      </x:c>
      <x:c r="D241" s="59"/>
      <x:c r="E241" s="73"/>
      <x:c r="F241" s="73"/>
      <x:c r="G241" s="63"/>
      <x:c r="H241" s="61" t="str">
        <x:f>IF(B241="","",IFERROR(VLOOKUP(B241,Proveedores!$B$6:$K$205,10,FALSE),""))</x:f>
      </x:c>
      <x:c r="I241" s="24"/>
      <x:c r="J241" s="24"/>
      <x:c r="K241" s="59"/>
      <x:c r="L241" s="71"/>
      <x:c r="M241" s="115" t="str">
        <x:f>IF(B241="","",IFERROR(VLOOKUP(B241,Proveedores!$B$6:$L$205,11,FALSE),1))</x:f>
      </x:c>
      <x:c r="N241" s="115" t="str">
        <x:f>IF(G241="","",G241*IF(M241="",1,M241))</x:f>
      </x:c>
    </x:row>
    <x:row r="242">
      <x:c r="A242" s="61"/>
      <x:c r="B242" s="24"/>
      <x:c r="C242" s="61" t="str">
        <x:f>IF(B242="","",IFERROR(VLOOKUP(B242,Proveedores!$B$6:$C$205,2,FALSE),""))</x:f>
      </x:c>
      <x:c r="D242" s="59"/>
      <x:c r="E242" s="73"/>
      <x:c r="F242" s="73"/>
      <x:c r="G242" s="63"/>
      <x:c r="H242" s="61" t="str">
        <x:f>IF(B242="","",IFERROR(VLOOKUP(B242,Proveedores!$B$6:$K$205,10,FALSE),""))</x:f>
      </x:c>
      <x:c r="I242" s="24"/>
      <x:c r="J242" s="24"/>
      <x:c r="K242" s="59"/>
      <x:c r="L242" s="71"/>
      <x:c r="M242" s="115" t="str">
        <x:f>IF(B242="","",IFERROR(VLOOKUP(B242,Proveedores!$B$6:$L$205,11,FALSE),1))</x:f>
      </x:c>
      <x:c r="N242" s="115" t="str">
        <x:f>IF(G242="","",G242*IF(M242="",1,M242))</x:f>
      </x:c>
    </x:row>
    <x:row r="243">
      <x:c r="A243" s="61"/>
      <x:c r="B243" s="24"/>
      <x:c r="C243" s="61" t="str">
        <x:f>IF(B243="","",IFERROR(VLOOKUP(B243,Proveedores!$B$6:$C$205,2,FALSE),""))</x:f>
      </x:c>
      <x:c r="D243" s="59"/>
      <x:c r="E243" s="73"/>
      <x:c r="F243" s="73"/>
      <x:c r="G243" s="63"/>
      <x:c r="H243" s="61" t="str">
        <x:f>IF(B243="","",IFERROR(VLOOKUP(B243,Proveedores!$B$6:$K$205,10,FALSE),""))</x:f>
      </x:c>
      <x:c r="I243" s="24"/>
      <x:c r="J243" s="24"/>
      <x:c r="K243" s="59"/>
      <x:c r="L243" s="71"/>
      <x:c r="M243" s="115" t="str">
        <x:f>IF(B243="","",IFERROR(VLOOKUP(B243,Proveedores!$B$6:$L$205,11,FALSE),1))</x:f>
      </x:c>
      <x:c r="N243" s="115" t="str">
        <x:f>IF(G243="","",G243*IF(M243="",1,M243))</x:f>
      </x:c>
    </x:row>
    <x:row r="244">
      <x:c r="A244" s="61"/>
      <x:c r="B244" s="24"/>
      <x:c r="C244" s="61" t="str">
        <x:f>IF(B244="","",IFERROR(VLOOKUP(B244,Proveedores!$B$6:$C$205,2,FALSE),""))</x:f>
      </x:c>
      <x:c r="D244" s="59"/>
      <x:c r="E244" s="73"/>
      <x:c r="F244" s="73"/>
      <x:c r="G244" s="63"/>
      <x:c r="H244" s="61" t="str">
        <x:f>IF(B244="","",IFERROR(VLOOKUP(B244,Proveedores!$B$6:$K$205,10,FALSE),""))</x:f>
      </x:c>
      <x:c r="I244" s="24"/>
      <x:c r="J244" s="24"/>
      <x:c r="K244" s="59"/>
      <x:c r="L244" s="71"/>
      <x:c r="M244" s="115" t="str">
        <x:f>IF(B244="","",IFERROR(VLOOKUP(B244,Proveedores!$B$6:$L$205,11,FALSE),1))</x:f>
      </x:c>
      <x:c r="N244" s="115" t="str">
        <x:f>IF(G244="","",G244*IF(M244="",1,M244))</x:f>
      </x:c>
    </x:row>
    <x:row r="245">
      <x:c r="A245" s="61"/>
      <x:c r="B245" s="24"/>
      <x:c r="C245" s="61" t="str">
        <x:f>IF(B245="","",IFERROR(VLOOKUP(B245,Proveedores!$B$6:$C$205,2,FALSE),""))</x:f>
      </x:c>
      <x:c r="D245" s="59"/>
      <x:c r="E245" s="73"/>
      <x:c r="F245" s="73"/>
      <x:c r="G245" s="63"/>
      <x:c r="H245" s="61" t="str">
        <x:f>IF(B245="","",IFERROR(VLOOKUP(B245,Proveedores!$B$6:$K$205,10,FALSE),""))</x:f>
      </x:c>
      <x:c r="I245" s="24"/>
      <x:c r="J245" s="24"/>
      <x:c r="K245" s="59"/>
      <x:c r="L245" s="71"/>
      <x:c r="M245" s="115" t="str">
        <x:f>IF(B245="","",IFERROR(VLOOKUP(B245,Proveedores!$B$6:$L$205,11,FALSE),1))</x:f>
      </x:c>
      <x:c r="N245" s="115" t="str">
        <x:f>IF(G245="","",G245*IF(M245="",1,M245))</x:f>
      </x:c>
    </x:row>
    <x:row r="246">
      <x:c r="A246" s="61"/>
      <x:c r="B246" s="24"/>
      <x:c r="C246" s="61" t="str">
        <x:f>IF(B246="","",IFERROR(VLOOKUP(B246,Proveedores!$B$6:$C$205,2,FALSE),""))</x:f>
      </x:c>
      <x:c r="D246" s="59"/>
      <x:c r="E246" s="73"/>
      <x:c r="F246" s="73"/>
      <x:c r="G246" s="63"/>
      <x:c r="H246" s="61" t="str">
        <x:f>IF(B246="","",IFERROR(VLOOKUP(B246,Proveedores!$B$6:$K$205,10,FALSE),""))</x:f>
      </x:c>
      <x:c r="I246" s="24"/>
      <x:c r="J246" s="24"/>
      <x:c r="K246" s="59"/>
      <x:c r="L246" s="71"/>
      <x:c r="M246" s="115" t="str">
        <x:f>IF(B246="","",IFERROR(VLOOKUP(B246,Proveedores!$B$6:$L$205,11,FALSE),1))</x:f>
      </x:c>
      <x:c r="N246" s="115" t="str">
        <x:f>IF(G246="","",G246*IF(M246="",1,M246))</x:f>
      </x:c>
    </x:row>
    <x:row r="247">
      <x:c r="A247" s="61"/>
      <x:c r="B247" s="24"/>
      <x:c r="C247" s="61" t="str">
        <x:f>IF(B247="","",IFERROR(VLOOKUP(B247,Proveedores!$B$6:$C$205,2,FALSE),""))</x:f>
      </x:c>
      <x:c r="D247" s="59"/>
      <x:c r="E247" s="73"/>
      <x:c r="F247" s="73"/>
      <x:c r="G247" s="63"/>
      <x:c r="H247" s="61" t="str">
        <x:f>IF(B247="","",IFERROR(VLOOKUP(B247,Proveedores!$B$6:$K$205,10,FALSE),""))</x:f>
      </x:c>
      <x:c r="I247" s="24"/>
      <x:c r="J247" s="24"/>
      <x:c r="K247" s="59"/>
      <x:c r="L247" s="71"/>
      <x:c r="M247" s="115" t="str">
        <x:f>IF(B247="","",IFERROR(VLOOKUP(B247,Proveedores!$B$6:$L$205,11,FALSE),1))</x:f>
      </x:c>
      <x:c r="N247" s="115" t="str">
        <x:f>IF(G247="","",G247*IF(M247="",1,M247))</x:f>
      </x:c>
    </x:row>
    <x:row r="248">
      <x:c r="A248" s="61"/>
      <x:c r="B248" s="24"/>
      <x:c r="C248" s="61" t="str">
        <x:f>IF(B248="","",IFERROR(VLOOKUP(B248,Proveedores!$B$6:$C$205,2,FALSE),""))</x:f>
      </x:c>
      <x:c r="D248" s="59"/>
      <x:c r="E248" s="73"/>
      <x:c r="F248" s="73"/>
      <x:c r="G248" s="63"/>
      <x:c r="H248" s="61" t="str">
        <x:f>IF(B248="","",IFERROR(VLOOKUP(B248,Proveedores!$B$6:$K$205,10,FALSE),""))</x:f>
      </x:c>
      <x:c r="I248" s="24"/>
      <x:c r="J248" s="24"/>
      <x:c r="K248" s="59"/>
      <x:c r="L248" s="71"/>
      <x:c r="M248" s="115" t="str">
        <x:f>IF(B248="","",IFERROR(VLOOKUP(B248,Proveedores!$B$6:$L$205,11,FALSE),1))</x:f>
      </x:c>
      <x:c r="N248" s="115" t="str">
        <x:f>IF(G248="","",G248*IF(M248="",1,M248))</x:f>
      </x:c>
    </x:row>
    <x:row r="249">
      <x:c r="A249" s="61"/>
      <x:c r="B249" s="24"/>
      <x:c r="C249" s="61" t="str">
        <x:f>IF(B249="","",IFERROR(VLOOKUP(B249,Proveedores!$B$6:$C$205,2,FALSE),""))</x:f>
      </x:c>
      <x:c r="D249" s="59"/>
      <x:c r="E249" s="73"/>
      <x:c r="F249" s="73"/>
      <x:c r="G249" s="63"/>
      <x:c r="H249" s="61" t="str">
        <x:f>IF(B249="","",IFERROR(VLOOKUP(B249,Proveedores!$B$6:$K$205,10,FALSE),""))</x:f>
      </x:c>
      <x:c r="I249" s="24"/>
      <x:c r="J249" s="24"/>
      <x:c r="K249" s="59"/>
      <x:c r="L249" s="71"/>
      <x:c r="M249" s="115" t="str">
        <x:f>IF(B249="","",IFERROR(VLOOKUP(B249,Proveedores!$B$6:$L$205,11,FALSE),1))</x:f>
      </x:c>
      <x:c r="N249" s="115" t="str">
        <x:f>IF(G249="","",G249*IF(M249="",1,M249))</x:f>
      </x:c>
    </x:row>
    <x:row r="250">
      <x:c r="A250" s="61"/>
      <x:c r="B250" s="24"/>
      <x:c r="C250" s="61" t="str">
        <x:f>IF(B250="","",IFERROR(VLOOKUP(B250,Proveedores!$B$6:$C$205,2,FALSE),""))</x:f>
      </x:c>
      <x:c r="D250" s="59"/>
      <x:c r="E250" s="73"/>
      <x:c r="F250" s="73"/>
      <x:c r="G250" s="63"/>
      <x:c r="H250" s="61" t="str">
        <x:f>IF(B250="","",IFERROR(VLOOKUP(B250,Proveedores!$B$6:$K$205,10,FALSE),""))</x:f>
      </x:c>
      <x:c r="I250" s="24"/>
      <x:c r="J250" s="24"/>
      <x:c r="K250" s="59"/>
      <x:c r="L250" s="71"/>
      <x:c r="M250" s="115" t="str">
        <x:f>IF(B250="","",IFERROR(VLOOKUP(B250,Proveedores!$B$6:$L$205,11,FALSE),1))</x:f>
      </x:c>
      <x:c r="N250" s="115" t="str">
        <x:f>IF(G250="","",G250*IF(M250="",1,M250))</x:f>
      </x:c>
    </x:row>
    <x:row r="251">
      <x:c r="A251" s="61"/>
      <x:c r="B251" s="24"/>
      <x:c r="C251" s="61" t="str">
        <x:f>IF(B251="","",IFERROR(VLOOKUP(B251,Proveedores!$B$6:$C$205,2,FALSE),""))</x:f>
      </x:c>
      <x:c r="D251" s="59"/>
      <x:c r="E251" s="73"/>
      <x:c r="F251" s="73"/>
      <x:c r="G251" s="63"/>
      <x:c r="H251" s="61" t="str">
        <x:f>IF(B251="","",IFERROR(VLOOKUP(B251,Proveedores!$B$6:$K$205,10,FALSE),""))</x:f>
      </x:c>
      <x:c r="I251" s="24"/>
      <x:c r="J251" s="24"/>
      <x:c r="K251" s="59"/>
      <x:c r="L251" s="71"/>
      <x:c r="M251" s="115" t="str">
        <x:f>IF(B251="","",IFERROR(VLOOKUP(B251,Proveedores!$B$6:$L$205,11,FALSE),1))</x:f>
      </x:c>
      <x:c r="N251" s="115" t="str">
        <x:f>IF(G251="","",G251*IF(M251="",1,M251))</x:f>
      </x:c>
    </x:row>
    <x:row r="252">
      <x:c r="A252" s="61"/>
      <x:c r="B252" s="24"/>
      <x:c r="C252" s="61" t="str">
        <x:f>IF(B252="","",IFERROR(VLOOKUP(B252,Proveedores!$B$6:$C$205,2,FALSE),""))</x:f>
      </x:c>
      <x:c r="D252" s="59"/>
      <x:c r="E252" s="73"/>
      <x:c r="F252" s="73"/>
      <x:c r="G252" s="63"/>
      <x:c r="H252" s="61" t="str">
        <x:f>IF(B252="","",IFERROR(VLOOKUP(B252,Proveedores!$B$6:$K$205,10,FALSE),""))</x:f>
      </x:c>
      <x:c r="I252" s="24"/>
      <x:c r="J252" s="24"/>
      <x:c r="K252" s="59"/>
      <x:c r="L252" s="71"/>
      <x:c r="M252" s="115" t="str">
        <x:f>IF(B252="","",IFERROR(VLOOKUP(B252,Proveedores!$B$6:$L$205,11,FALSE),1))</x:f>
      </x:c>
      <x:c r="N252" s="115" t="str">
        <x:f>IF(G252="","",G252*IF(M252="",1,M252))</x:f>
      </x:c>
    </x:row>
    <x:row r="253">
      <x:c r="A253" s="61"/>
      <x:c r="B253" s="24"/>
      <x:c r="C253" s="61" t="str">
        <x:f>IF(B253="","",IFERROR(VLOOKUP(B253,Proveedores!$B$6:$C$205,2,FALSE),""))</x:f>
      </x:c>
      <x:c r="D253" s="59"/>
      <x:c r="E253" s="73"/>
      <x:c r="F253" s="73"/>
      <x:c r="G253" s="63"/>
      <x:c r="H253" s="61" t="str">
        <x:f>IF(B253="","",IFERROR(VLOOKUP(B253,Proveedores!$B$6:$K$205,10,FALSE),""))</x:f>
      </x:c>
      <x:c r="I253" s="24"/>
      <x:c r="J253" s="24"/>
      <x:c r="K253" s="59"/>
      <x:c r="L253" s="71"/>
      <x:c r="M253" s="115" t="str">
        <x:f>IF(B253="","",IFERROR(VLOOKUP(B253,Proveedores!$B$6:$L$205,11,FALSE),1))</x:f>
      </x:c>
      <x:c r="N253" s="115" t="str">
        <x:f>IF(G253="","",G253*IF(M253="",1,M253))</x:f>
      </x:c>
    </x:row>
    <x:row r="254">
      <x:c r="A254" s="61"/>
      <x:c r="B254" s="24"/>
      <x:c r="C254" s="61" t="str">
        <x:f>IF(B254="","",IFERROR(VLOOKUP(B254,Proveedores!$B$6:$C$205,2,FALSE),""))</x:f>
      </x:c>
      <x:c r="D254" s="59"/>
      <x:c r="E254" s="73"/>
      <x:c r="F254" s="73"/>
      <x:c r="G254" s="63"/>
      <x:c r="H254" s="61" t="str">
        <x:f>IF(B254="","",IFERROR(VLOOKUP(B254,Proveedores!$B$6:$K$205,10,FALSE),""))</x:f>
      </x:c>
      <x:c r="I254" s="24"/>
      <x:c r="J254" s="24"/>
      <x:c r="K254" s="59"/>
      <x:c r="L254" s="71"/>
      <x:c r="M254" s="115" t="str">
        <x:f>IF(B254="","",IFERROR(VLOOKUP(B254,Proveedores!$B$6:$L$205,11,FALSE),1))</x:f>
      </x:c>
      <x:c r="N254" s="115" t="str">
        <x:f>IF(G254="","",G254*IF(M254="",1,M254))</x:f>
      </x:c>
    </x:row>
    <x:row r="255">
      <x:c r="A255" s="61"/>
      <x:c r="B255" s="24"/>
      <x:c r="C255" s="61" t="str">
        <x:f>IF(B255="","",IFERROR(VLOOKUP(B255,Proveedores!$B$6:$C$205,2,FALSE),""))</x:f>
      </x:c>
      <x:c r="D255" s="59"/>
      <x:c r="E255" s="73"/>
      <x:c r="F255" s="73"/>
      <x:c r="G255" s="63"/>
      <x:c r="H255" s="61" t="str">
        <x:f>IF(B255="","",IFERROR(VLOOKUP(B255,Proveedores!$B$6:$K$205,10,FALSE),""))</x:f>
      </x:c>
      <x:c r="I255" s="24"/>
      <x:c r="J255" s="24"/>
      <x:c r="K255" s="59"/>
      <x:c r="L255" s="71"/>
      <x:c r="M255" s="115" t="str">
        <x:f>IF(B255="","",IFERROR(VLOOKUP(B255,Proveedores!$B$6:$L$205,11,FALSE),1))</x:f>
      </x:c>
      <x:c r="N255" s="115" t="str">
        <x:f>IF(G255="","",G255*IF(M255="",1,M255))</x:f>
      </x:c>
    </x:row>
    <x:row r="256">
      <x:c r="A256" s="61"/>
      <x:c r="B256" s="24"/>
      <x:c r="C256" s="61" t="str">
        <x:f>IF(B256="","",IFERROR(VLOOKUP(B256,Proveedores!$B$6:$C$205,2,FALSE),""))</x:f>
      </x:c>
      <x:c r="D256" s="59"/>
      <x:c r="E256" s="73"/>
      <x:c r="F256" s="73"/>
      <x:c r="G256" s="63"/>
      <x:c r="H256" s="61" t="str">
        <x:f>IF(B256="","",IFERROR(VLOOKUP(B256,Proveedores!$B$6:$K$205,10,FALSE),""))</x:f>
      </x:c>
      <x:c r="I256" s="24"/>
      <x:c r="J256" s="24"/>
      <x:c r="K256" s="59"/>
      <x:c r="L256" s="71"/>
      <x:c r="M256" s="115" t="str">
        <x:f>IF(B256="","",IFERROR(VLOOKUP(B256,Proveedores!$B$6:$L$205,11,FALSE),1))</x:f>
      </x:c>
      <x:c r="N256" s="115" t="str">
        <x:f>IF(G256="","",G256*IF(M256="",1,M256))</x:f>
      </x:c>
    </x:row>
    <x:row r="257">
      <x:c r="A257" s="61"/>
      <x:c r="B257" s="24"/>
      <x:c r="C257" s="61" t="str">
        <x:f>IF(B257="","",IFERROR(VLOOKUP(B257,Proveedores!$B$6:$C$205,2,FALSE),""))</x:f>
      </x:c>
      <x:c r="D257" s="59"/>
      <x:c r="E257" s="73"/>
      <x:c r="F257" s="73"/>
      <x:c r="G257" s="63"/>
      <x:c r="H257" s="61" t="str">
        <x:f>IF(B257="","",IFERROR(VLOOKUP(B257,Proveedores!$B$6:$K$205,10,FALSE),""))</x:f>
      </x:c>
      <x:c r="I257" s="24"/>
      <x:c r="J257" s="24"/>
      <x:c r="K257" s="59"/>
      <x:c r="L257" s="71"/>
      <x:c r="M257" s="115" t="str">
        <x:f>IF(B257="","",IFERROR(VLOOKUP(B257,Proveedores!$B$6:$L$205,11,FALSE),1))</x:f>
      </x:c>
      <x:c r="N257" s="115" t="str">
        <x:f>IF(G257="","",G257*IF(M257="",1,M257))</x:f>
      </x:c>
    </x:row>
    <x:row r="258">
      <x:c r="A258" s="61"/>
      <x:c r="B258" s="24"/>
      <x:c r="C258" s="61" t="str">
        <x:f>IF(B258="","",IFERROR(VLOOKUP(B258,Proveedores!$B$6:$C$205,2,FALSE),""))</x:f>
      </x:c>
      <x:c r="D258" s="59"/>
      <x:c r="E258" s="73"/>
      <x:c r="F258" s="73"/>
      <x:c r="G258" s="63"/>
      <x:c r="H258" s="61" t="str">
        <x:f>IF(B258="","",IFERROR(VLOOKUP(B258,Proveedores!$B$6:$K$205,10,FALSE),""))</x:f>
      </x:c>
      <x:c r="I258" s="24"/>
      <x:c r="J258" s="24"/>
      <x:c r="K258" s="59"/>
      <x:c r="L258" s="71"/>
      <x:c r="M258" s="115" t="str">
        <x:f>IF(B258="","",IFERROR(VLOOKUP(B258,Proveedores!$B$6:$L$205,11,FALSE),1))</x:f>
      </x:c>
      <x:c r="N258" s="115" t="str">
        <x:f>IF(G258="","",G258*IF(M258="",1,M258))</x:f>
      </x:c>
    </x:row>
    <x:row r="259">
      <x:c r="A259" s="61"/>
      <x:c r="B259" s="24"/>
      <x:c r="C259" s="61" t="str">
        <x:f>IF(B259="","",IFERROR(VLOOKUP(B259,Proveedores!$B$6:$C$205,2,FALSE),""))</x:f>
      </x:c>
      <x:c r="D259" s="59"/>
      <x:c r="E259" s="73"/>
      <x:c r="F259" s="73"/>
      <x:c r="G259" s="63"/>
      <x:c r="H259" s="61" t="str">
        <x:f>IF(B259="","",IFERROR(VLOOKUP(B259,Proveedores!$B$6:$K$205,10,FALSE),""))</x:f>
      </x:c>
      <x:c r="I259" s="24"/>
      <x:c r="J259" s="24"/>
      <x:c r="K259" s="59"/>
      <x:c r="L259" s="71"/>
      <x:c r="M259" s="115" t="str">
        <x:f>IF(B259="","",IFERROR(VLOOKUP(B259,Proveedores!$B$6:$L$205,11,FALSE),1))</x:f>
      </x:c>
      <x:c r="N259" s="115" t="str">
        <x:f>IF(G259="","",G259*IF(M259="",1,M259))</x:f>
      </x:c>
    </x:row>
    <x:row r="260">
      <x:c r="A260" s="61"/>
      <x:c r="B260" s="24"/>
      <x:c r="C260" s="61" t="str">
        <x:f>IF(B260="","",IFERROR(VLOOKUP(B260,Proveedores!$B$6:$C$205,2,FALSE),""))</x:f>
      </x:c>
      <x:c r="D260" s="59"/>
      <x:c r="E260" s="73"/>
      <x:c r="F260" s="73"/>
      <x:c r="G260" s="63"/>
      <x:c r="H260" s="61" t="str">
        <x:f>IF(B260="","",IFERROR(VLOOKUP(B260,Proveedores!$B$6:$K$205,10,FALSE),""))</x:f>
      </x:c>
      <x:c r="I260" s="24"/>
      <x:c r="J260" s="24"/>
      <x:c r="K260" s="59"/>
      <x:c r="L260" s="71"/>
      <x:c r="M260" s="115" t="str">
        <x:f>IF(B260="","",IFERROR(VLOOKUP(B260,Proveedores!$B$6:$L$205,11,FALSE),1))</x:f>
      </x:c>
      <x:c r="N260" s="115" t="str">
        <x:f>IF(G260="","",G260*IF(M260="",1,M260))</x:f>
      </x:c>
    </x:row>
    <x:row r="261">
      <x:c r="A261" s="61"/>
      <x:c r="B261" s="24"/>
      <x:c r="C261" s="61" t="str">
        <x:f>IF(B261="","",IFERROR(VLOOKUP(B261,Proveedores!$B$6:$C$205,2,FALSE),""))</x:f>
      </x:c>
      <x:c r="D261" s="59"/>
      <x:c r="E261" s="73"/>
      <x:c r="F261" s="73"/>
      <x:c r="G261" s="63"/>
      <x:c r="H261" s="61" t="str">
        <x:f>IF(B261="","",IFERROR(VLOOKUP(B261,Proveedores!$B$6:$K$205,10,FALSE),""))</x:f>
      </x:c>
      <x:c r="I261" s="24"/>
      <x:c r="J261" s="24"/>
      <x:c r="K261" s="59"/>
      <x:c r="L261" s="71"/>
      <x:c r="M261" s="115" t="str">
        <x:f>IF(B261="","",IFERROR(VLOOKUP(B261,Proveedores!$B$6:$L$205,11,FALSE),1))</x:f>
      </x:c>
      <x:c r="N261" s="115" t="str">
        <x:f>IF(G261="","",G261*IF(M261="",1,M261))</x:f>
      </x:c>
    </x:row>
    <x:row r="262">
      <x:c r="A262" s="61"/>
      <x:c r="B262" s="24"/>
      <x:c r="C262" s="61" t="str">
        <x:f>IF(B262="","",IFERROR(VLOOKUP(B262,Proveedores!$B$6:$C$205,2,FALSE),""))</x:f>
      </x:c>
      <x:c r="D262" s="59"/>
      <x:c r="E262" s="73"/>
      <x:c r="F262" s="73"/>
      <x:c r="G262" s="63"/>
      <x:c r="H262" s="61" t="str">
        <x:f>IF(B262="","",IFERROR(VLOOKUP(B262,Proveedores!$B$6:$K$205,10,FALSE),""))</x:f>
      </x:c>
      <x:c r="I262" s="24"/>
      <x:c r="J262" s="24"/>
      <x:c r="K262" s="59"/>
      <x:c r="L262" s="71"/>
      <x:c r="M262" s="115" t="str">
        <x:f>IF(B262="","",IFERROR(VLOOKUP(B262,Proveedores!$B$6:$L$205,11,FALSE),1))</x:f>
      </x:c>
      <x:c r="N262" s="115" t="str">
        <x:f>IF(G262="","",G262*IF(M262="",1,M262))</x:f>
      </x:c>
    </x:row>
    <x:row r="263">
      <x:c r="A263" s="61"/>
      <x:c r="B263" s="24"/>
      <x:c r="C263" s="61" t="str">
        <x:f>IF(B263="","",IFERROR(VLOOKUP(B263,Proveedores!$B$6:$C$205,2,FALSE),""))</x:f>
      </x:c>
      <x:c r="D263" s="59"/>
      <x:c r="E263" s="73"/>
      <x:c r="F263" s="73"/>
      <x:c r="G263" s="63"/>
      <x:c r="H263" s="61" t="str">
        <x:f>IF(B263="","",IFERROR(VLOOKUP(B263,Proveedores!$B$6:$K$205,10,FALSE),""))</x:f>
      </x:c>
      <x:c r="I263" s="24"/>
      <x:c r="J263" s="24"/>
      <x:c r="K263" s="59"/>
      <x:c r="L263" s="71"/>
      <x:c r="M263" s="115" t="str">
        <x:f>IF(B263="","",IFERROR(VLOOKUP(B263,Proveedores!$B$6:$L$205,11,FALSE),1))</x:f>
      </x:c>
      <x:c r="N263" s="115" t="str">
        <x:f>IF(G263="","",G263*IF(M263="",1,M263))</x:f>
      </x:c>
    </x:row>
    <x:row r="264">
      <x:c r="A264" s="61"/>
      <x:c r="B264" s="24"/>
      <x:c r="C264" s="61" t="str">
        <x:f>IF(B264="","",IFERROR(VLOOKUP(B264,Proveedores!$B$6:$C$205,2,FALSE),""))</x:f>
      </x:c>
      <x:c r="D264" s="59"/>
      <x:c r="E264" s="73"/>
      <x:c r="F264" s="73"/>
      <x:c r="G264" s="63"/>
      <x:c r="H264" s="61" t="str">
        <x:f>IF(B264="","",IFERROR(VLOOKUP(B264,Proveedores!$B$6:$K$205,10,FALSE),""))</x:f>
      </x:c>
      <x:c r="I264" s="24"/>
      <x:c r="J264" s="24"/>
      <x:c r="K264" s="59"/>
      <x:c r="L264" s="71"/>
      <x:c r="M264" s="115" t="str">
        <x:f>IF(B264="","",IFERROR(VLOOKUP(B264,Proveedores!$B$6:$L$205,11,FALSE),1))</x:f>
      </x:c>
      <x:c r="N264" s="115" t="str">
        <x:f>IF(G264="","",G264*IF(M264="",1,M264))</x:f>
      </x:c>
    </x:row>
    <x:row r="265">
      <x:c r="A265" s="61"/>
      <x:c r="B265" s="24"/>
      <x:c r="C265" s="61" t="str">
        <x:f>IF(B265="","",IFERROR(VLOOKUP(B265,Proveedores!$B$6:$C$205,2,FALSE),""))</x:f>
      </x:c>
      <x:c r="D265" s="59"/>
      <x:c r="E265" s="73"/>
      <x:c r="F265" s="73"/>
      <x:c r="G265" s="63"/>
      <x:c r="H265" s="61" t="str">
        <x:f>IF(B265="","",IFERROR(VLOOKUP(B265,Proveedores!$B$6:$K$205,10,FALSE),""))</x:f>
      </x:c>
      <x:c r="I265" s="24"/>
      <x:c r="J265" s="24"/>
      <x:c r="K265" s="59"/>
      <x:c r="L265" s="71"/>
      <x:c r="M265" s="115" t="str">
        <x:f>IF(B265="","",IFERROR(VLOOKUP(B265,Proveedores!$B$6:$L$205,11,FALSE),1))</x:f>
      </x:c>
      <x:c r="N265" s="115" t="str">
        <x:f>IF(G265="","",G265*IF(M265="",1,M265))</x:f>
      </x:c>
    </x:row>
    <x:row r="266">
      <x:c r="A266" s="61"/>
      <x:c r="B266" s="24"/>
      <x:c r="C266" s="61" t="str">
        <x:f>IF(B266="","",IFERROR(VLOOKUP(B266,Proveedores!$B$6:$C$205,2,FALSE),""))</x:f>
      </x:c>
      <x:c r="D266" s="59"/>
      <x:c r="E266" s="73"/>
      <x:c r="F266" s="73"/>
      <x:c r="G266" s="63"/>
      <x:c r="H266" s="61" t="str">
        <x:f>IF(B266="","",IFERROR(VLOOKUP(B266,Proveedores!$B$6:$K$205,10,FALSE),""))</x:f>
      </x:c>
      <x:c r="I266" s="24"/>
      <x:c r="J266" s="24"/>
      <x:c r="K266" s="59"/>
      <x:c r="L266" s="71"/>
      <x:c r="M266" s="115" t="str">
        <x:f>IF(B266="","",IFERROR(VLOOKUP(B266,Proveedores!$B$6:$L$205,11,FALSE),1))</x:f>
      </x:c>
      <x:c r="N266" s="115" t="str">
        <x:f>IF(G266="","",G266*IF(M266="",1,M266))</x:f>
      </x:c>
    </x:row>
    <x:row r="267">
      <x:c r="A267" s="61"/>
      <x:c r="B267" s="24"/>
      <x:c r="C267" s="61" t="str">
        <x:f>IF(B267="","",IFERROR(VLOOKUP(B267,Proveedores!$B$6:$C$205,2,FALSE),""))</x:f>
      </x:c>
      <x:c r="D267" s="59"/>
      <x:c r="E267" s="73"/>
      <x:c r="F267" s="73"/>
      <x:c r="G267" s="63"/>
      <x:c r="H267" s="61" t="str">
        <x:f>IF(B267="","",IFERROR(VLOOKUP(B267,Proveedores!$B$6:$K$205,10,FALSE),""))</x:f>
      </x:c>
      <x:c r="I267" s="24"/>
      <x:c r="J267" s="24"/>
      <x:c r="K267" s="59"/>
      <x:c r="L267" s="71"/>
      <x:c r="M267" s="115" t="str">
        <x:f>IF(B267="","",IFERROR(VLOOKUP(B267,Proveedores!$B$6:$L$205,11,FALSE),1))</x:f>
      </x:c>
      <x:c r="N267" s="115" t="str">
        <x:f>IF(G267="","",G267*IF(M267="",1,M267))</x:f>
      </x:c>
    </x:row>
    <x:row r="268">
      <x:c r="A268" s="61"/>
      <x:c r="B268" s="24"/>
      <x:c r="C268" s="61" t="str">
        <x:f>IF(B268="","",IFERROR(VLOOKUP(B268,Proveedores!$B$6:$C$205,2,FALSE),""))</x:f>
      </x:c>
      <x:c r="D268" s="59"/>
      <x:c r="E268" s="73"/>
      <x:c r="F268" s="73"/>
      <x:c r="G268" s="63"/>
      <x:c r="H268" s="61" t="str">
        <x:f>IF(B268="","",IFERROR(VLOOKUP(B268,Proveedores!$B$6:$K$205,10,FALSE),""))</x:f>
      </x:c>
      <x:c r="I268" s="24"/>
      <x:c r="J268" s="24"/>
      <x:c r="K268" s="59"/>
      <x:c r="L268" s="71"/>
      <x:c r="M268" s="115" t="str">
        <x:f>IF(B268="","",IFERROR(VLOOKUP(B268,Proveedores!$B$6:$L$205,11,FALSE),1))</x:f>
      </x:c>
      <x:c r="N268" s="115" t="str">
        <x:f>IF(G268="","",G268*IF(M268="",1,M268))</x:f>
      </x:c>
    </x:row>
    <x:row r="269">
      <x:c r="A269" s="61"/>
      <x:c r="B269" s="24"/>
      <x:c r="C269" s="61" t="str">
        <x:f>IF(B269="","",IFERROR(VLOOKUP(B269,Proveedores!$B$6:$C$205,2,FALSE),""))</x:f>
      </x:c>
      <x:c r="D269" s="59"/>
      <x:c r="E269" s="73"/>
      <x:c r="F269" s="73"/>
      <x:c r="G269" s="63"/>
      <x:c r="H269" s="61" t="str">
        <x:f>IF(B269="","",IFERROR(VLOOKUP(B269,Proveedores!$B$6:$K$205,10,FALSE),""))</x:f>
      </x:c>
      <x:c r="I269" s="24"/>
      <x:c r="J269" s="24"/>
      <x:c r="K269" s="59"/>
      <x:c r="L269" s="71"/>
      <x:c r="M269" s="115" t="str">
        <x:f>IF(B269="","",IFERROR(VLOOKUP(B269,Proveedores!$B$6:$L$205,11,FALSE),1))</x:f>
      </x:c>
      <x:c r="N269" s="115" t="str">
        <x:f>IF(G269="","",G269*IF(M269="",1,M269))</x:f>
      </x:c>
    </x:row>
    <x:row r="270">
      <x:c r="A270" s="61"/>
      <x:c r="B270" s="24"/>
      <x:c r="C270" s="61" t="str">
        <x:f>IF(B270="","",IFERROR(VLOOKUP(B270,Proveedores!$B$6:$C$205,2,FALSE),""))</x:f>
      </x:c>
      <x:c r="D270" s="59"/>
      <x:c r="E270" s="73"/>
      <x:c r="F270" s="73"/>
      <x:c r="G270" s="63"/>
      <x:c r="H270" s="61" t="str">
        <x:f>IF(B270="","",IFERROR(VLOOKUP(B270,Proveedores!$B$6:$K$205,10,FALSE),""))</x:f>
      </x:c>
      <x:c r="I270" s="24"/>
      <x:c r="J270" s="24"/>
      <x:c r="K270" s="59"/>
      <x:c r="L270" s="71"/>
      <x:c r="M270" s="115" t="str">
        <x:f>IF(B270="","",IFERROR(VLOOKUP(B270,Proveedores!$B$6:$L$205,11,FALSE),1))</x:f>
      </x:c>
      <x:c r="N270" s="115" t="str">
        <x:f>IF(G270="","",G270*IF(M270="",1,M270))</x:f>
      </x:c>
    </x:row>
    <x:row r="271">
      <x:c r="A271" s="61"/>
      <x:c r="B271" s="24"/>
      <x:c r="C271" s="61" t="str">
        <x:f>IF(B271="","",IFERROR(VLOOKUP(B271,Proveedores!$B$6:$C$205,2,FALSE),""))</x:f>
      </x:c>
      <x:c r="D271" s="59"/>
      <x:c r="E271" s="73"/>
      <x:c r="F271" s="73"/>
      <x:c r="G271" s="63"/>
      <x:c r="H271" s="61" t="str">
        <x:f>IF(B271="","",IFERROR(VLOOKUP(B271,Proveedores!$B$6:$K$205,10,FALSE),""))</x:f>
      </x:c>
      <x:c r="I271" s="24"/>
      <x:c r="J271" s="24"/>
      <x:c r="K271" s="59"/>
      <x:c r="L271" s="71"/>
      <x:c r="M271" s="115" t="str">
        <x:f>IF(B271="","",IFERROR(VLOOKUP(B271,Proveedores!$B$6:$L$205,11,FALSE),1))</x:f>
      </x:c>
      <x:c r="N271" s="115" t="str">
        <x:f>IF(G271="","",G271*IF(M271="",1,M271))</x:f>
      </x:c>
    </x:row>
    <x:row r="272">
      <x:c r="A272" s="61"/>
      <x:c r="B272" s="24"/>
      <x:c r="C272" s="61" t="str">
        <x:f>IF(B272="","",IFERROR(VLOOKUP(B272,Proveedores!$B$6:$C$205,2,FALSE),""))</x:f>
      </x:c>
      <x:c r="D272" s="59"/>
      <x:c r="E272" s="73"/>
      <x:c r="F272" s="73"/>
      <x:c r="G272" s="63"/>
      <x:c r="H272" s="61" t="str">
        <x:f>IF(B272="","",IFERROR(VLOOKUP(B272,Proveedores!$B$6:$K$205,10,FALSE),""))</x:f>
      </x:c>
      <x:c r="I272" s="24"/>
      <x:c r="J272" s="24"/>
      <x:c r="K272" s="59"/>
      <x:c r="L272" s="71"/>
      <x:c r="M272" s="115" t="str">
        <x:f>IF(B272="","",IFERROR(VLOOKUP(B272,Proveedores!$B$6:$L$205,11,FALSE),1))</x:f>
      </x:c>
      <x:c r="N272" s="115" t="str">
        <x:f>IF(G272="","",G272*IF(M272="",1,M272))</x:f>
      </x:c>
    </x:row>
    <x:row r="273">
      <x:c r="A273" s="61"/>
      <x:c r="B273" s="24"/>
      <x:c r="C273" s="61" t="str">
        <x:f>IF(B273="","",IFERROR(VLOOKUP(B273,Proveedores!$B$6:$C$205,2,FALSE),""))</x:f>
      </x:c>
      <x:c r="D273" s="59"/>
      <x:c r="E273" s="73"/>
      <x:c r="F273" s="73"/>
      <x:c r="G273" s="63"/>
      <x:c r="H273" s="61" t="str">
        <x:f>IF(B273="","",IFERROR(VLOOKUP(B273,Proveedores!$B$6:$K$205,10,FALSE),""))</x:f>
      </x:c>
      <x:c r="I273" s="24"/>
      <x:c r="J273" s="24"/>
      <x:c r="K273" s="59"/>
      <x:c r="L273" s="71"/>
      <x:c r="M273" s="115" t="str">
        <x:f>IF(B273="","",IFERROR(VLOOKUP(B273,Proveedores!$B$6:$L$205,11,FALSE),1))</x:f>
      </x:c>
      <x:c r="N273" s="115" t="str">
        <x:f>IF(G273="","",G273*IF(M273="",1,M273))</x:f>
      </x:c>
    </x:row>
    <x:row r="274">
      <x:c r="A274" s="61"/>
      <x:c r="B274" s="24"/>
      <x:c r="C274" s="61" t="str">
        <x:f>IF(B274="","",IFERROR(VLOOKUP(B274,Proveedores!$B$6:$C$205,2,FALSE),""))</x:f>
      </x:c>
      <x:c r="D274" s="59"/>
      <x:c r="E274" s="73"/>
      <x:c r="F274" s="73"/>
      <x:c r="G274" s="63"/>
      <x:c r="H274" s="61" t="str">
        <x:f>IF(B274="","",IFERROR(VLOOKUP(B274,Proveedores!$B$6:$K$205,10,FALSE),""))</x:f>
      </x:c>
      <x:c r="I274" s="24"/>
      <x:c r="J274" s="24"/>
      <x:c r="K274" s="59"/>
      <x:c r="L274" s="71"/>
      <x:c r="M274" s="115" t="str">
        <x:f>IF(B274="","",IFERROR(VLOOKUP(B274,Proveedores!$B$6:$L$205,11,FALSE),1))</x:f>
      </x:c>
      <x:c r="N274" s="115" t="str">
        <x:f>IF(G274="","",G274*IF(M274="",1,M274))</x:f>
      </x:c>
    </x:row>
    <x:row r="275">
      <x:c r="A275" s="61"/>
      <x:c r="B275" s="24"/>
      <x:c r="C275" s="61" t="str">
        <x:f>IF(B275="","",IFERROR(VLOOKUP(B275,Proveedores!$B$6:$C$205,2,FALSE),""))</x:f>
      </x:c>
      <x:c r="D275" s="59"/>
      <x:c r="E275" s="73"/>
      <x:c r="F275" s="73"/>
      <x:c r="G275" s="63"/>
      <x:c r="H275" s="61" t="str">
        <x:f>IF(B275="","",IFERROR(VLOOKUP(B275,Proveedores!$B$6:$K$205,10,FALSE),""))</x:f>
      </x:c>
      <x:c r="I275" s="24"/>
      <x:c r="J275" s="24"/>
      <x:c r="K275" s="59"/>
      <x:c r="L275" s="71"/>
      <x:c r="M275" s="115" t="str">
        <x:f>IF(B275="","",IFERROR(VLOOKUP(B275,Proveedores!$B$6:$L$205,11,FALSE),1))</x:f>
      </x:c>
      <x:c r="N275" s="115" t="str">
        <x:f>IF(G275="","",G275*IF(M275="",1,M275))</x:f>
      </x:c>
    </x:row>
    <x:row r="276">
      <x:c r="A276" s="61"/>
      <x:c r="B276" s="24"/>
      <x:c r="C276" s="61" t="str">
        <x:f>IF(B276="","",IFERROR(VLOOKUP(B276,Proveedores!$B$6:$C$205,2,FALSE),""))</x:f>
      </x:c>
      <x:c r="D276" s="59"/>
      <x:c r="E276" s="73"/>
      <x:c r="F276" s="73"/>
      <x:c r="G276" s="63"/>
      <x:c r="H276" s="61" t="str">
        <x:f>IF(B276="","",IFERROR(VLOOKUP(B276,Proveedores!$B$6:$K$205,10,FALSE),""))</x:f>
      </x:c>
      <x:c r="I276" s="24"/>
      <x:c r="J276" s="24"/>
      <x:c r="K276" s="59"/>
      <x:c r="L276" s="71"/>
      <x:c r="M276" s="115" t="str">
        <x:f>IF(B276="","",IFERROR(VLOOKUP(B276,Proveedores!$B$6:$L$205,11,FALSE),1))</x:f>
      </x:c>
      <x:c r="N276" s="115" t="str">
        <x:f>IF(G276="","",G276*IF(M276="",1,M276))</x:f>
      </x:c>
    </x:row>
    <x:row r="277">
      <x:c r="A277" s="61"/>
      <x:c r="B277" s="24"/>
      <x:c r="C277" s="61" t="str">
        <x:f>IF(B277="","",IFERROR(VLOOKUP(B277,Proveedores!$B$6:$C$205,2,FALSE),""))</x:f>
      </x:c>
      <x:c r="D277" s="59"/>
      <x:c r="E277" s="73"/>
      <x:c r="F277" s="73"/>
      <x:c r="G277" s="63"/>
      <x:c r="H277" s="61" t="str">
        <x:f>IF(B277="","",IFERROR(VLOOKUP(B277,Proveedores!$B$6:$K$205,10,FALSE),""))</x:f>
      </x:c>
      <x:c r="I277" s="24"/>
      <x:c r="J277" s="24"/>
      <x:c r="K277" s="59"/>
      <x:c r="L277" s="71"/>
      <x:c r="M277" s="115" t="str">
        <x:f>IF(B277="","",IFERROR(VLOOKUP(B277,Proveedores!$B$6:$L$205,11,FALSE),1))</x:f>
      </x:c>
      <x:c r="N277" s="115" t="str">
        <x:f>IF(G277="","",G277*IF(M277="",1,M277))</x:f>
      </x:c>
    </x:row>
    <x:row r="278">
      <x:c r="A278" s="61"/>
      <x:c r="B278" s="24"/>
      <x:c r="C278" s="61" t="str">
        <x:f>IF(B278="","",IFERROR(VLOOKUP(B278,Proveedores!$B$6:$C$205,2,FALSE),""))</x:f>
      </x:c>
      <x:c r="D278" s="59"/>
      <x:c r="E278" s="73"/>
      <x:c r="F278" s="73"/>
      <x:c r="G278" s="63"/>
      <x:c r="H278" s="61" t="str">
        <x:f>IF(B278="","",IFERROR(VLOOKUP(B278,Proveedores!$B$6:$K$205,10,FALSE),""))</x:f>
      </x:c>
      <x:c r="I278" s="24"/>
      <x:c r="J278" s="24"/>
      <x:c r="K278" s="59"/>
      <x:c r="L278" s="71"/>
      <x:c r="M278" s="115" t="str">
        <x:f>IF(B278="","",IFERROR(VLOOKUP(B278,Proveedores!$B$6:$L$205,11,FALSE),1))</x:f>
      </x:c>
      <x:c r="N278" s="115" t="str">
        <x:f>IF(G278="","",G278*IF(M278="",1,M278))</x:f>
      </x:c>
    </x:row>
    <x:row r="279">
      <x:c r="A279" s="61"/>
      <x:c r="B279" s="24"/>
      <x:c r="C279" s="61" t="str">
        <x:f>IF(B279="","",IFERROR(VLOOKUP(B279,Proveedores!$B$6:$C$205,2,FALSE),""))</x:f>
      </x:c>
      <x:c r="D279" s="59"/>
      <x:c r="E279" s="73"/>
      <x:c r="F279" s="73"/>
      <x:c r="G279" s="63"/>
      <x:c r="H279" s="61" t="str">
        <x:f>IF(B279="","",IFERROR(VLOOKUP(B279,Proveedores!$B$6:$K$205,10,FALSE),""))</x:f>
      </x:c>
      <x:c r="I279" s="24"/>
      <x:c r="J279" s="24"/>
      <x:c r="K279" s="59"/>
      <x:c r="L279" s="71"/>
      <x:c r="M279" s="115" t="str">
        <x:f>IF(B279="","",IFERROR(VLOOKUP(B279,Proveedores!$B$6:$L$205,11,FALSE),1))</x:f>
      </x:c>
      <x:c r="N279" s="115" t="str">
        <x:f>IF(G279="","",G279*IF(M279="",1,M279))</x:f>
      </x:c>
    </x:row>
    <x:row r="280">
      <x:c r="A280" s="61"/>
      <x:c r="B280" s="24"/>
      <x:c r="C280" s="61" t="str">
        <x:f>IF(B280="","",IFERROR(VLOOKUP(B280,Proveedores!$B$6:$C$205,2,FALSE),""))</x:f>
      </x:c>
      <x:c r="D280" s="59"/>
      <x:c r="E280" s="73"/>
      <x:c r="F280" s="73"/>
      <x:c r="G280" s="63"/>
      <x:c r="H280" s="61" t="str">
        <x:f>IF(B280="","",IFERROR(VLOOKUP(B280,Proveedores!$B$6:$K$205,10,FALSE),""))</x:f>
      </x:c>
      <x:c r="I280" s="24"/>
      <x:c r="J280" s="24"/>
      <x:c r="K280" s="59"/>
      <x:c r="L280" s="71"/>
      <x:c r="M280" s="115" t="str">
        <x:f>IF(B280="","",IFERROR(VLOOKUP(B280,Proveedores!$B$6:$L$205,11,FALSE),1))</x:f>
      </x:c>
      <x:c r="N280" s="115" t="str">
        <x:f>IF(G280="","",G280*IF(M280="",1,M280))</x:f>
      </x:c>
    </x:row>
    <x:row r="281">
      <x:c r="A281" s="61"/>
      <x:c r="B281" s="24"/>
      <x:c r="C281" s="61" t="str">
        <x:f>IF(B281="","",IFERROR(VLOOKUP(B281,Proveedores!$B$6:$C$205,2,FALSE),""))</x:f>
      </x:c>
      <x:c r="D281" s="59"/>
      <x:c r="E281" s="73"/>
      <x:c r="F281" s="73"/>
      <x:c r="G281" s="63"/>
      <x:c r="H281" s="61" t="str">
        <x:f>IF(B281="","",IFERROR(VLOOKUP(B281,Proveedores!$B$6:$K$205,10,FALSE),""))</x:f>
      </x:c>
      <x:c r="I281" s="24"/>
      <x:c r="J281" s="24"/>
      <x:c r="K281" s="59"/>
      <x:c r="L281" s="71"/>
      <x:c r="M281" s="115" t="str">
        <x:f>IF(B281="","",IFERROR(VLOOKUP(B281,Proveedores!$B$6:$L$205,11,FALSE),1))</x:f>
      </x:c>
      <x:c r="N281" s="115" t="str">
        <x:f>IF(G281="","",G281*IF(M281="",1,M281))</x:f>
      </x:c>
    </x:row>
    <x:row r="282">
      <x:c r="A282" s="61"/>
      <x:c r="B282" s="24"/>
      <x:c r="C282" s="61" t="str">
        <x:f>IF(B282="","",IFERROR(VLOOKUP(B282,Proveedores!$B$6:$C$205,2,FALSE),""))</x:f>
      </x:c>
      <x:c r="D282" s="59"/>
      <x:c r="E282" s="73"/>
      <x:c r="F282" s="73"/>
      <x:c r="G282" s="63"/>
      <x:c r="H282" s="61" t="str">
        <x:f>IF(B282="","",IFERROR(VLOOKUP(B282,Proveedores!$B$6:$K$205,10,FALSE),""))</x:f>
      </x:c>
      <x:c r="I282" s="24"/>
      <x:c r="J282" s="24"/>
      <x:c r="K282" s="59"/>
      <x:c r="L282" s="71"/>
      <x:c r="M282" s="115" t="str">
        <x:f>IF(B282="","",IFERROR(VLOOKUP(B282,Proveedores!$B$6:$L$205,11,FALSE),1))</x:f>
      </x:c>
      <x:c r="N282" s="115" t="str">
        <x:f>IF(G282="","",G282*IF(M282="",1,M282))</x:f>
      </x:c>
    </x:row>
    <x:row r="283">
      <x:c r="A283" s="61"/>
      <x:c r="B283" s="24"/>
      <x:c r="C283" s="61" t="str">
        <x:f>IF(B283="","",IFERROR(VLOOKUP(B283,Proveedores!$B$6:$C$205,2,FALSE),""))</x:f>
      </x:c>
      <x:c r="D283" s="59"/>
      <x:c r="E283" s="73"/>
      <x:c r="F283" s="73"/>
      <x:c r="G283" s="63"/>
      <x:c r="H283" s="61" t="str">
        <x:f>IF(B283="","",IFERROR(VLOOKUP(B283,Proveedores!$B$6:$K$205,10,FALSE),""))</x:f>
      </x:c>
      <x:c r="I283" s="24"/>
      <x:c r="J283" s="24"/>
      <x:c r="K283" s="59"/>
      <x:c r="L283" s="71"/>
      <x:c r="M283" s="115" t="str">
        <x:f>IF(B283="","",IFERROR(VLOOKUP(B283,Proveedores!$B$6:$L$205,11,FALSE),1))</x:f>
      </x:c>
      <x:c r="N283" s="115" t="str">
        <x:f>IF(G283="","",G283*IF(M283="",1,M283))</x:f>
      </x:c>
    </x:row>
    <x:row r="284">
      <x:c r="A284" s="61"/>
      <x:c r="B284" s="24"/>
      <x:c r="C284" s="61" t="str">
        <x:f>IF(B284="","",IFERROR(VLOOKUP(B284,Proveedores!$B$6:$C$205,2,FALSE),""))</x:f>
      </x:c>
      <x:c r="D284" s="59"/>
      <x:c r="E284" s="73"/>
      <x:c r="F284" s="73"/>
      <x:c r="G284" s="63"/>
      <x:c r="H284" s="61" t="str">
        <x:f>IF(B284="","",IFERROR(VLOOKUP(B284,Proveedores!$B$6:$K$205,10,FALSE),""))</x:f>
      </x:c>
      <x:c r="I284" s="24"/>
      <x:c r="J284" s="24"/>
      <x:c r="K284" s="59"/>
      <x:c r="L284" s="71"/>
      <x:c r="M284" s="115" t="str">
        <x:f>IF(B284="","",IFERROR(VLOOKUP(B284,Proveedores!$B$6:$L$205,11,FALSE),1))</x:f>
      </x:c>
      <x:c r="N284" s="115" t="str">
        <x:f>IF(G284="","",G284*IF(M284="",1,M284))</x:f>
      </x:c>
    </x:row>
    <x:row r="285">
      <x:c r="A285" s="61"/>
      <x:c r="B285" s="24"/>
      <x:c r="C285" s="61" t="str">
        <x:f>IF(B285="","",IFERROR(VLOOKUP(B285,Proveedores!$B$6:$C$205,2,FALSE),""))</x:f>
      </x:c>
      <x:c r="D285" s="59"/>
      <x:c r="E285" s="73"/>
      <x:c r="F285" s="73"/>
      <x:c r="G285" s="63"/>
      <x:c r="H285" s="61" t="str">
        <x:f>IF(B285="","",IFERROR(VLOOKUP(B285,Proveedores!$B$6:$K$205,10,FALSE),""))</x:f>
      </x:c>
      <x:c r="I285" s="24"/>
      <x:c r="J285" s="24"/>
      <x:c r="K285" s="59"/>
      <x:c r="L285" s="71"/>
      <x:c r="M285" s="115" t="str">
        <x:f>IF(B285="","",IFERROR(VLOOKUP(B285,Proveedores!$B$6:$L$205,11,FALSE),1))</x:f>
      </x:c>
      <x:c r="N285" s="115" t="str">
        <x:f>IF(G285="","",G285*IF(M285="",1,M285))</x:f>
      </x:c>
    </x:row>
    <x:row r="286">
      <x:c r="A286" s="61"/>
      <x:c r="B286" s="24"/>
      <x:c r="C286" s="61" t="str">
        <x:f>IF(B286="","",IFERROR(VLOOKUP(B286,Proveedores!$B$6:$C$205,2,FALSE),""))</x:f>
      </x:c>
      <x:c r="D286" s="59"/>
      <x:c r="E286" s="73"/>
      <x:c r="F286" s="73"/>
      <x:c r="G286" s="63"/>
      <x:c r="H286" s="61" t="str">
        <x:f>IF(B286="","",IFERROR(VLOOKUP(B286,Proveedores!$B$6:$K$205,10,FALSE),""))</x:f>
      </x:c>
      <x:c r="I286" s="24"/>
      <x:c r="J286" s="24"/>
      <x:c r="K286" s="59"/>
      <x:c r="L286" s="71"/>
      <x:c r="M286" s="115" t="str">
        <x:f>IF(B286="","",IFERROR(VLOOKUP(B286,Proveedores!$B$6:$L$205,11,FALSE),1))</x:f>
      </x:c>
      <x:c r="N286" s="115" t="str">
        <x:f>IF(G286="","",G286*IF(M286="",1,M286))</x:f>
      </x:c>
    </x:row>
    <x:row r="287">
      <x:c r="A287" s="61"/>
      <x:c r="B287" s="24"/>
      <x:c r="C287" s="61" t="str">
        <x:f>IF(B287="","",IFERROR(VLOOKUP(B287,Proveedores!$B$6:$C$205,2,FALSE),""))</x:f>
      </x:c>
      <x:c r="D287" s="59"/>
      <x:c r="E287" s="73"/>
      <x:c r="F287" s="73"/>
      <x:c r="G287" s="63"/>
      <x:c r="H287" s="61" t="str">
        <x:f>IF(B287="","",IFERROR(VLOOKUP(B287,Proveedores!$B$6:$K$205,10,FALSE),""))</x:f>
      </x:c>
      <x:c r="I287" s="24"/>
      <x:c r="J287" s="24"/>
      <x:c r="K287" s="59"/>
      <x:c r="L287" s="71"/>
      <x:c r="M287" s="115" t="str">
        <x:f>IF(B287="","",IFERROR(VLOOKUP(B287,Proveedores!$B$6:$L$205,11,FALSE),1))</x:f>
      </x:c>
      <x:c r="N287" s="115" t="str">
        <x:f>IF(G287="","",G287*IF(M287="",1,M287))</x:f>
      </x:c>
    </x:row>
    <x:row r="288">
      <x:c r="A288" s="61"/>
      <x:c r="B288" s="24"/>
      <x:c r="C288" s="61" t="str">
        <x:f>IF(B288="","",IFERROR(VLOOKUP(B288,Proveedores!$B$6:$C$205,2,FALSE),""))</x:f>
      </x:c>
      <x:c r="D288" s="59"/>
      <x:c r="E288" s="73"/>
      <x:c r="F288" s="73"/>
      <x:c r="G288" s="63"/>
      <x:c r="H288" s="61" t="str">
        <x:f>IF(B288="","",IFERROR(VLOOKUP(B288,Proveedores!$B$6:$K$205,10,FALSE),""))</x:f>
      </x:c>
      <x:c r="I288" s="24"/>
      <x:c r="J288" s="24"/>
      <x:c r="K288" s="59"/>
      <x:c r="L288" s="71"/>
      <x:c r="M288" s="115" t="str">
        <x:f>IF(B288="","",IFERROR(VLOOKUP(B288,Proveedores!$B$6:$L$205,11,FALSE),1))</x:f>
      </x:c>
      <x:c r="N288" s="115" t="str">
        <x:f>IF(G288="","",G288*IF(M288="",1,M288))</x:f>
      </x:c>
    </x:row>
    <x:row r="289">
      <x:c r="A289" s="61"/>
      <x:c r="B289" s="24"/>
      <x:c r="C289" s="61" t="str">
        <x:f>IF(B289="","",IFERROR(VLOOKUP(B289,Proveedores!$B$6:$C$205,2,FALSE),""))</x:f>
      </x:c>
      <x:c r="D289" s="59"/>
      <x:c r="E289" s="73"/>
      <x:c r="F289" s="73"/>
      <x:c r="G289" s="63"/>
      <x:c r="H289" s="61" t="str">
        <x:f>IF(B289="","",IFERROR(VLOOKUP(B289,Proveedores!$B$6:$K$205,10,FALSE),""))</x:f>
      </x:c>
      <x:c r="I289" s="24"/>
      <x:c r="J289" s="24"/>
      <x:c r="K289" s="59"/>
      <x:c r="L289" s="71"/>
      <x:c r="M289" s="115" t="str">
        <x:f>IF(B289="","",IFERROR(VLOOKUP(B289,Proveedores!$B$6:$L$205,11,FALSE),1))</x:f>
      </x:c>
      <x:c r="N289" s="115" t="str">
        <x:f>IF(G289="","",G289*IF(M289="",1,M289))</x:f>
      </x:c>
    </x:row>
    <x:row r="290">
      <x:c r="A290" s="61"/>
      <x:c r="B290" s="24"/>
      <x:c r="C290" s="61" t="str">
        <x:f>IF(B290="","",IFERROR(VLOOKUP(B290,Proveedores!$B$6:$C$205,2,FALSE),""))</x:f>
      </x:c>
      <x:c r="D290" s="59"/>
      <x:c r="E290" s="73"/>
      <x:c r="F290" s="73"/>
      <x:c r="G290" s="63"/>
      <x:c r="H290" s="61" t="str">
        <x:f>IF(B290="","",IFERROR(VLOOKUP(B290,Proveedores!$B$6:$K$205,10,FALSE),""))</x:f>
      </x:c>
      <x:c r="I290" s="24"/>
      <x:c r="J290" s="24"/>
      <x:c r="K290" s="59"/>
      <x:c r="L290" s="71"/>
      <x:c r="M290" s="115" t="str">
        <x:f>IF(B290="","",IFERROR(VLOOKUP(B290,Proveedores!$B$6:$L$205,11,FALSE),1))</x:f>
      </x:c>
      <x:c r="N290" s="115" t="str">
        <x:f>IF(G290="","",G290*IF(M290="",1,M290))</x:f>
      </x:c>
    </x:row>
    <x:row r="291">
      <x:c r="A291" s="61"/>
      <x:c r="B291" s="24"/>
      <x:c r="C291" s="61" t="str">
        <x:f>IF(B291="","",IFERROR(VLOOKUP(B291,Proveedores!$B$6:$C$205,2,FALSE),""))</x:f>
      </x:c>
      <x:c r="D291" s="59"/>
      <x:c r="E291" s="73"/>
      <x:c r="F291" s="73"/>
      <x:c r="G291" s="63"/>
      <x:c r="H291" s="61" t="str">
        <x:f>IF(B291="","",IFERROR(VLOOKUP(B291,Proveedores!$B$6:$K$205,10,FALSE),""))</x:f>
      </x:c>
      <x:c r="I291" s="24"/>
      <x:c r="J291" s="24"/>
      <x:c r="K291" s="59"/>
      <x:c r="L291" s="71"/>
      <x:c r="M291" s="115" t="str">
        <x:f>IF(B291="","",IFERROR(VLOOKUP(B291,Proveedores!$B$6:$L$205,11,FALSE),1))</x:f>
      </x:c>
      <x:c r="N291" s="115" t="str">
        <x:f>IF(G291="","",G291*IF(M291="",1,M291))</x:f>
      </x:c>
    </x:row>
    <x:row r="292">
      <x:c r="A292" s="61"/>
      <x:c r="B292" s="24"/>
      <x:c r="C292" s="61" t="str">
        <x:f>IF(B292="","",IFERROR(VLOOKUP(B292,Proveedores!$B$6:$C$205,2,FALSE),""))</x:f>
      </x:c>
      <x:c r="D292" s="59"/>
      <x:c r="E292" s="73"/>
      <x:c r="F292" s="73"/>
      <x:c r="G292" s="63"/>
      <x:c r="H292" s="61" t="str">
        <x:f>IF(B292="","",IFERROR(VLOOKUP(B292,Proveedores!$B$6:$K$205,10,FALSE),""))</x:f>
      </x:c>
      <x:c r="I292" s="24"/>
      <x:c r="J292" s="24"/>
      <x:c r="K292" s="59"/>
      <x:c r="L292" s="71"/>
      <x:c r="M292" s="115" t="str">
        <x:f>IF(B292="","",IFERROR(VLOOKUP(B292,Proveedores!$B$6:$L$205,11,FALSE),1))</x:f>
      </x:c>
      <x:c r="N292" s="115" t="str">
        <x:f>IF(G292="","",G292*IF(M292="",1,M292))</x:f>
      </x:c>
    </x:row>
    <x:row r="293">
      <x:c r="A293" s="61"/>
      <x:c r="B293" s="24"/>
      <x:c r="C293" s="61" t="str">
        <x:f>IF(B293="","",IFERROR(VLOOKUP(B293,Proveedores!$B$6:$C$205,2,FALSE),""))</x:f>
      </x:c>
      <x:c r="D293" s="59"/>
      <x:c r="E293" s="73"/>
      <x:c r="F293" s="73"/>
      <x:c r="G293" s="63"/>
      <x:c r="H293" s="61" t="str">
        <x:f>IF(B293="","",IFERROR(VLOOKUP(B293,Proveedores!$B$6:$K$205,10,FALSE),""))</x:f>
      </x:c>
      <x:c r="I293" s="24"/>
      <x:c r="J293" s="24"/>
      <x:c r="K293" s="59"/>
      <x:c r="L293" s="71"/>
      <x:c r="M293" s="115" t="str">
        <x:f>IF(B293="","",IFERROR(VLOOKUP(B293,Proveedores!$B$6:$L$205,11,FALSE),1))</x:f>
      </x:c>
      <x:c r="N293" s="115" t="str">
        <x:f>IF(G293="","",G293*IF(M293="",1,M293))</x:f>
      </x:c>
    </x:row>
    <x:row r="294">
      <x:c r="A294" s="61"/>
      <x:c r="B294" s="24"/>
      <x:c r="C294" s="61" t="str">
        <x:f>IF(B294="","",IFERROR(VLOOKUP(B294,Proveedores!$B$6:$C$205,2,FALSE),""))</x:f>
      </x:c>
      <x:c r="D294" s="59"/>
      <x:c r="E294" s="73"/>
      <x:c r="F294" s="73"/>
      <x:c r="G294" s="63"/>
      <x:c r="H294" s="61" t="str">
        <x:f>IF(B294="","",IFERROR(VLOOKUP(B294,Proveedores!$B$6:$K$205,10,FALSE),""))</x:f>
      </x:c>
      <x:c r="I294" s="24"/>
      <x:c r="J294" s="24"/>
      <x:c r="K294" s="59"/>
      <x:c r="L294" s="71"/>
      <x:c r="M294" s="115" t="str">
        <x:f>IF(B294="","",IFERROR(VLOOKUP(B294,Proveedores!$B$6:$L$205,11,FALSE),1))</x:f>
      </x:c>
      <x:c r="N294" s="115" t="str">
        <x:f>IF(G294="","",G294*IF(M294="",1,M294))</x:f>
      </x:c>
    </x:row>
    <x:row r="295">
      <x:c r="A295" s="61"/>
      <x:c r="B295" s="24"/>
      <x:c r="C295" s="61" t="str">
        <x:f>IF(B295="","",IFERROR(VLOOKUP(B295,Proveedores!$B$6:$C$205,2,FALSE),""))</x:f>
      </x:c>
      <x:c r="D295" s="59"/>
      <x:c r="E295" s="73"/>
      <x:c r="F295" s="73"/>
      <x:c r="G295" s="63"/>
      <x:c r="H295" s="61" t="str">
        <x:f>IF(B295="","",IFERROR(VLOOKUP(B295,Proveedores!$B$6:$K$205,10,FALSE),""))</x:f>
      </x:c>
      <x:c r="I295" s="24"/>
      <x:c r="J295" s="24"/>
      <x:c r="K295" s="59"/>
      <x:c r="L295" s="71"/>
      <x:c r="M295" s="115" t="str">
        <x:f>IF(B295="","",IFERROR(VLOOKUP(B295,Proveedores!$B$6:$L$205,11,FALSE),1))</x:f>
      </x:c>
      <x:c r="N295" s="115" t="str">
        <x:f>IF(G295="","",G295*IF(M295="",1,M295))</x:f>
      </x:c>
    </x:row>
    <x:row r="296">
      <x:c r="A296" s="61"/>
      <x:c r="B296" s="24"/>
      <x:c r="C296" s="61" t="str">
        <x:f>IF(B296="","",IFERROR(VLOOKUP(B296,Proveedores!$B$6:$C$205,2,FALSE),""))</x:f>
      </x:c>
      <x:c r="D296" s="59"/>
      <x:c r="E296" s="73"/>
      <x:c r="F296" s="73"/>
      <x:c r="G296" s="63"/>
      <x:c r="H296" s="61" t="str">
        <x:f>IF(B296="","",IFERROR(VLOOKUP(B296,Proveedores!$B$6:$K$205,10,FALSE),""))</x:f>
      </x:c>
      <x:c r="I296" s="24"/>
      <x:c r="J296" s="24"/>
      <x:c r="K296" s="59"/>
      <x:c r="L296" s="71"/>
      <x:c r="M296" s="115" t="str">
        <x:f>IF(B296="","",IFERROR(VLOOKUP(B296,Proveedores!$B$6:$L$205,11,FALSE),1))</x:f>
      </x:c>
      <x:c r="N296" s="115" t="str">
        <x:f>IF(G296="","",G296*IF(M296="",1,M296))</x:f>
      </x:c>
    </x:row>
    <x:row r="297">
      <x:c r="A297" s="61"/>
      <x:c r="B297" s="24"/>
      <x:c r="C297" s="61" t="str">
        <x:f>IF(B297="","",IFERROR(VLOOKUP(B297,Proveedores!$B$6:$C$205,2,FALSE),""))</x:f>
      </x:c>
      <x:c r="D297" s="59"/>
      <x:c r="E297" s="73"/>
      <x:c r="F297" s="73"/>
      <x:c r="G297" s="63"/>
      <x:c r="H297" s="61" t="str">
        <x:f>IF(B297="","",IFERROR(VLOOKUP(B297,Proveedores!$B$6:$K$205,10,FALSE),""))</x:f>
      </x:c>
      <x:c r="I297" s="24"/>
      <x:c r="J297" s="24"/>
      <x:c r="K297" s="59"/>
      <x:c r="L297" s="71"/>
      <x:c r="M297" s="115" t="str">
        <x:f>IF(B297="","",IFERROR(VLOOKUP(B297,Proveedores!$B$6:$L$205,11,FALSE),1))</x:f>
      </x:c>
      <x:c r="N297" s="115" t="str">
        <x:f>IF(G297="","",G297*IF(M297="",1,M297))</x:f>
      </x:c>
    </x:row>
    <x:row r="298">
      <x:c r="A298" s="61"/>
      <x:c r="B298" s="24"/>
      <x:c r="C298" s="61" t="str">
        <x:f>IF(B298="","",IFERROR(VLOOKUP(B298,Proveedores!$B$6:$C$205,2,FALSE),""))</x:f>
      </x:c>
      <x:c r="D298" s="59"/>
      <x:c r="E298" s="73"/>
      <x:c r="F298" s="73"/>
      <x:c r="G298" s="63"/>
      <x:c r="H298" s="61" t="str">
        <x:f>IF(B298="","",IFERROR(VLOOKUP(B298,Proveedores!$B$6:$K$205,10,FALSE),""))</x:f>
      </x:c>
      <x:c r="I298" s="24"/>
      <x:c r="J298" s="24"/>
      <x:c r="K298" s="59"/>
      <x:c r="L298" s="71"/>
      <x:c r="M298" s="115" t="str">
        <x:f>IF(B298="","",IFERROR(VLOOKUP(B298,Proveedores!$B$6:$L$205,11,FALSE),1))</x:f>
      </x:c>
      <x:c r="N298" s="115" t="str">
        <x:f>IF(G298="","",G298*IF(M298="",1,M298))</x:f>
      </x:c>
    </x:row>
    <x:row r="299">
      <x:c r="A299" s="61"/>
      <x:c r="B299" s="24"/>
      <x:c r="C299" s="61" t="str">
        <x:f>IF(B299="","",IFERROR(VLOOKUP(B299,Proveedores!$B$6:$C$205,2,FALSE),""))</x:f>
      </x:c>
      <x:c r="D299" s="59"/>
      <x:c r="E299" s="73"/>
      <x:c r="F299" s="73"/>
      <x:c r="G299" s="63"/>
      <x:c r="H299" s="61" t="str">
        <x:f>IF(B299="","",IFERROR(VLOOKUP(B299,Proveedores!$B$6:$K$205,10,FALSE),""))</x:f>
      </x:c>
      <x:c r="I299" s="24"/>
      <x:c r="J299" s="24"/>
      <x:c r="K299" s="59"/>
      <x:c r="L299" s="71"/>
      <x:c r="M299" s="115" t="str">
        <x:f>IF(B299="","",IFERROR(VLOOKUP(B299,Proveedores!$B$6:$L$205,11,FALSE),1))</x:f>
      </x:c>
      <x:c r="N299" s="115" t="str">
        <x:f>IF(G299="","",G299*IF(M299="",1,M299))</x:f>
      </x:c>
    </x:row>
    <x:row r="300">
      <x:c r="A300" s="61"/>
      <x:c r="B300" s="24"/>
      <x:c r="C300" s="61" t="str">
        <x:f>IF(B300="","",IFERROR(VLOOKUP(B300,Proveedores!$B$6:$C$205,2,FALSE),""))</x:f>
      </x:c>
      <x:c r="D300" s="59"/>
      <x:c r="E300" s="73"/>
      <x:c r="F300" s="73"/>
      <x:c r="G300" s="63"/>
      <x:c r="H300" s="61" t="str">
        <x:f>IF(B300="","",IFERROR(VLOOKUP(B300,Proveedores!$B$6:$K$205,10,FALSE),""))</x:f>
      </x:c>
      <x:c r="I300" s="24"/>
      <x:c r="J300" s="24"/>
      <x:c r="K300" s="59"/>
      <x:c r="L300" s="71"/>
      <x:c r="M300" s="115" t="str">
        <x:f>IF(B300="","",IFERROR(VLOOKUP(B300,Proveedores!$B$6:$L$205,11,FALSE),1))</x:f>
      </x:c>
      <x:c r="N300" s="115" t="str">
        <x:f>IF(G300="","",G300*IF(M300="",1,M300))</x:f>
      </x:c>
    </x:row>
    <x:row r="301">
      <x:c r="A301" s="61"/>
      <x:c r="B301" s="24"/>
      <x:c r="C301" s="61" t="str">
        <x:f>IF(B301="","",IFERROR(VLOOKUP(B301,Proveedores!$B$6:$C$205,2,FALSE),""))</x:f>
      </x:c>
      <x:c r="D301" s="59"/>
      <x:c r="E301" s="73"/>
      <x:c r="F301" s="73"/>
      <x:c r="G301" s="63"/>
      <x:c r="H301" s="61" t="str">
        <x:f>IF(B301="","",IFERROR(VLOOKUP(B301,Proveedores!$B$6:$K$205,10,FALSE),""))</x:f>
      </x:c>
      <x:c r="I301" s="24"/>
      <x:c r="J301" s="24"/>
      <x:c r="K301" s="59"/>
      <x:c r="L301" s="71"/>
      <x:c r="M301" s="115" t="str">
        <x:f>IF(B301="","",IFERROR(VLOOKUP(B301,Proveedores!$B$6:$L$205,11,FALSE),1))</x:f>
      </x:c>
      <x:c r="N301" s="115" t="str">
        <x:f>IF(G301="","",G301*IF(M301="",1,M301))</x:f>
      </x:c>
    </x:row>
    <x:row r="302">
      <x:c r="A302" s="61"/>
      <x:c r="B302" s="24"/>
      <x:c r="C302" s="61" t="str">
        <x:f>IF(B302="","",IFERROR(VLOOKUP(B302,Proveedores!$B$6:$C$205,2,FALSE),""))</x:f>
      </x:c>
      <x:c r="D302" s="59"/>
      <x:c r="E302" s="73"/>
      <x:c r="F302" s="73"/>
      <x:c r="G302" s="63"/>
      <x:c r="H302" s="61" t="str">
        <x:f>IF(B302="","",IFERROR(VLOOKUP(B302,Proveedores!$B$6:$K$205,10,FALSE),""))</x:f>
      </x:c>
      <x:c r="I302" s="24"/>
      <x:c r="J302" s="24"/>
      <x:c r="K302" s="59"/>
      <x:c r="L302" s="71"/>
      <x:c r="M302" s="115" t="str">
        <x:f>IF(B302="","",IFERROR(VLOOKUP(B302,Proveedores!$B$6:$L$205,11,FALSE),1))</x:f>
      </x:c>
      <x:c r="N302" s="115" t="str">
        <x:f>IF(G302="","",G302*IF(M302="",1,M302))</x:f>
      </x:c>
    </x:row>
    <x:row r="303">
      <x:c r="A303" s="61"/>
      <x:c r="B303" s="24"/>
      <x:c r="C303" s="61" t="str">
        <x:f>IF(B303="","",IFERROR(VLOOKUP(B303,Proveedores!$B$6:$C$205,2,FALSE),""))</x:f>
      </x:c>
      <x:c r="D303" s="59"/>
      <x:c r="E303" s="73"/>
      <x:c r="F303" s="73"/>
      <x:c r="G303" s="63"/>
      <x:c r="H303" s="61" t="str">
        <x:f>IF(B303="","",IFERROR(VLOOKUP(B303,Proveedores!$B$6:$K$205,10,FALSE),""))</x:f>
      </x:c>
      <x:c r="I303" s="24"/>
      <x:c r="J303" s="24"/>
      <x:c r="K303" s="59"/>
      <x:c r="L303" s="71"/>
      <x:c r="M303" s="115" t="str">
        <x:f>IF(B303="","",IFERROR(VLOOKUP(B303,Proveedores!$B$6:$L$205,11,FALSE),1))</x:f>
      </x:c>
      <x:c r="N303" s="115" t="str">
        <x:f>IF(G303="","",G303*IF(M303="",1,M303))</x:f>
      </x:c>
    </x:row>
    <x:row r="304">
      <x:c r="A304" s="61"/>
      <x:c r="B304" s="24"/>
      <x:c r="C304" s="61" t="str">
        <x:f>IF(B304="","",IFERROR(VLOOKUP(B304,Proveedores!$B$6:$C$205,2,FALSE),""))</x:f>
      </x:c>
      <x:c r="D304" s="59"/>
      <x:c r="E304" s="73"/>
      <x:c r="F304" s="73"/>
      <x:c r="G304" s="63"/>
      <x:c r="H304" s="61" t="str">
        <x:f>IF(B304="","",IFERROR(VLOOKUP(B304,Proveedores!$B$6:$K$205,10,FALSE),""))</x:f>
      </x:c>
      <x:c r="I304" s="24"/>
      <x:c r="J304" s="24"/>
      <x:c r="K304" s="59"/>
      <x:c r="L304" s="71"/>
      <x:c r="M304" s="115" t="str">
        <x:f>IF(B304="","",IFERROR(VLOOKUP(B304,Proveedores!$B$6:$L$205,11,FALSE),1))</x:f>
      </x:c>
      <x:c r="N304" s="115" t="str">
        <x:f>IF(G304="","",G304*IF(M304="",1,M304))</x:f>
      </x:c>
    </x:row>
    <x:row r="305">
      <x:c r="A305" s="61"/>
      <x:c r="B305" s="24"/>
      <x:c r="C305" s="61" t="str">
        <x:f>IF(B305="","",IFERROR(VLOOKUP(B305,Proveedores!$B$6:$C$205,2,FALSE),""))</x:f>
      </x:c>
      <x:c r="D305" s="59"/>
      <x:c r="E305" s="73"/>
      <x:c r="F305" s="73"/>
      <x:c r="G305" s="63"/>
      <x:c r="H305" s="61" t="str">
        <x:f>IF(B305="","",IFERROR(VLOOKUP(B305,Proveedores!$B$6:$K$205,10,FALSE),""))</x:f>
      </x:c>
      <x:c r="I305" s="24"/>
      <x:c r="J305" s="24"/>
      <x:c r="K305" s="59"/>
      <x:c r="L305" s="71"/>
      <x:c r="M305" s="115" t="str">
        <x:f>IF(B305="","",IFERROR(VLOOKUP(B305,Proveedores!$B$6:$L$205,11,FALSE),1))</x:f>
      </x:c>
      <x:c r="N305" s="115" t="str">
        <x:f>IF(G305="","",G305*IF(M305="",1,M305))</x:f>
      </x:c>
    </x:row>
  </x:sheetData>
  <x:mergeCells>
    <x:mergeCell ref="A1:L1"/>
    <x:mergeCell ref="A2:L2"/>
  </x:mergeCells>
  <x:conditionalFormatting sqref="J6:J305">
    <x:cfRule type="expression" dxfId="4" priority="1">
      <x:formula>J6="Pagado"</x:formula>
    </x:cfRule>
    <x:cfRule type="expression" dxfId="5" priority="2">
      <x:formula>AND(J6="Pendiente",E6&lt;TODAY(),E6&lt;&gt;"")</x:formula>
    </x:cfRule>
  </x:conditionalFormatting>
  <x:dataValidations count="3">
    <x:dataValidation type="list" sqref="B6:B305">
      <x:formula1>Proveedores!$B$6:$B$205</x:formula1>
    </x:dataValidation>
    <x:dataValidation type="list" sqref="I6:I305">
      <x:formula1>Listas!$E$2:$E$20</x:formula1>
    </x:dataValidation>
    <x:dataValidation type="list" sqref="J6:J305">
      <x:formula1>Listas!$F$2:$F$10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38" hidden="0" customWidth="1"/>
  </x:cols>
  <x:sheetData>
    <x:row r="1">
      <x:c r="A1" s="75" t="str">
        <x:v>EJEMPLO COMPLETO · NO SE IMPORTA</x:v>
      </x:c>
    </x:row>
    <x:row r="3">
      <x:c r="A3" s="50" t="str">
        <x:v>Proveedor</x:v>
      </x:c>
      <x:c r="B3" s="50" t="str">
        <x:v>Categoría</x:v>
      </x:c>
      <x:c r="C3" s="50" t="str">
        <x:v>Cotizado</x:v>
      </x:c>
      <x:c r="D3" s="50" t="str">
        <x:v>Contratado</x:v>
      </x:c>
      <x:c r="E3" s="50" t="str">
        <x:v>Moneda</x:v>
      </x:c>
      <x:c r="F3" s="50" t="str">
        <x:v>Estado</x:v>
      </x:c>
      <x:c r="G3" s="50" t="str">
        <x:v>Contrato</x:v>
      </x:c>
      <x:c r="H3" s="50" t="str">
        <x:v>Notas</x:v>
      </x:c>
    </x:row>
    <x:row r="4">
      <x:c r="A4" t="str">
        <x:v>Estudio Luz</x:v>
      </x:c>
      <x:c r="B4" t="str">
        <x:v>Fotografía y video</x:v>
      </x:c>
      <x:c r="C4" t="n">
        <x:v>2200</x:v>
      </x:c>
      <x:c r="D4" t="n">
        <x:v>2000</x:v>
      </x:c>
      <x:c r="E4" t="str">
        <x:v>USD</x:v>
      </x:c>
      <x:c r="F4" t="str">
        <x:v>Contratado</x:v>
      </x:c>
      <x:c r="G4" t="str">
        <x:v>Sí</x:v>
      </x:c>
      <x:c r="H4" t="str">
        <x:v>Incluye 10 horas + segundo fotógrafo</x:v>
      </x:c>
    </x:row>
    <x:row r="5">
      <x:c r="A5" t="str">
        <x:v>Sabores del Sur</x:v>
      </x:c>
      <x:c r="B5" t="str">
        <x:v>Banquete y catering</x:v>
      </x:c>
      <x:c r="C5" t="n">
        <x:v>6800</x:v>
      </x:c>
      <x:c r="D5" t="n">
        <x:v>6800</x:v>
      </x:c>
      <x:c r="E5" t="str">
        <x:v>USD</x:v>
      </x:c>
      <x:c r="F5" t="str">
        <x:v>Cotizado</x:v>
      </x:c>
      <x:c r="G5" t="str">
        <x:v>Pendiente</x:v>
      </x:c>
      <x:c r="H5" t="str">
        <x:v>Cotización válida 30 días</x:v>
      </x:c>
    </x:row>
    <x:row r="6">
      <x:c r="A6" t="str">
        <x:v>Flor de Ceibo</x:v>
      </x:c>
      <x:c r="B6" t="str">
        <x:v>Decoración y flores</x:v>
      </x:c>
      <x:c r="C6" t="n">
        <x:v>15000000</x:v>
      </x:c>
      <x:c r="D6" t="n">
        <x:v>14500000</x:v>
      </x:c>
      <x:c r="E6" t="str">
        <x:v>PYG</x:v>
      </x:c>
      <x:c r="F6" t="str">
        <x:v>Reservado</x:v>
      </x:c>
      <x:c r="G6" t="str">
        <x:v>No</x:v>
      </x:c>
      <x:c r="H6" t="str">
        <x:v>Falta confirmar montaje</x:v>
      </x:c>
    </x:row>
    <x:row r="8">
      <x:c r="A8" s="50" t="str">
        <x:v>Proveedor</x:v>
      </x:c>
      <x:c r="B8" s="50" t="str">
        <x:v>Concepto</x:v>
      </x:c>
      <x:c r="C8" s="50" t="str">
        <x:v>Fecha pactada</x:v>
      </x:c>
      <x:c r="D8" s="50" t="str">
        <x:v>Fecha pagada</x:v>
      </x:c>
      <x:c r="E8" s="50" t="str">
        <x:v>Importe</x:v>
      </x:c>
      <x:c r="F8" s="50" t="str">
        <x:v>Moneda</x:v>
      </x:c>
      <x:c r="G8" s="50" t="str">
        <x:v>Medio de pago</x:v>
      </x:c>
      <x:c r="H8" s="50" t="str">
        <x:v>Estado</x:v>
      </x:c>
    </x:row>
    <x:row r="9">
      <x:c r="A9" t="str">
        <x:v>Estudio Luz</x:v>
      </x:c>
      <x:c r="B9" t="str">
        <x:v>Seña</x:v>
      </x:c>
      <x:c r="C9" s="77" t="n">
        <x:v>46235</x:v>
      </x:c>
      <x:c r="D9" s="77" t="n">
        <x:v>46235</x:v>
      </x:c>
      <x:c r="E9" t="n">
        <x:v>500</x:v>
      </x:c>
      <x:c r="F9" t="str">
        <x:v>USD</x:v>
      </x:c>
      <x:c r="G9" t="str">
        <x:v>Transferencia</x:v>
      </x:c>
      <x:c r="H9" t="str">
        <x:v>Pagado</x:v>
      </x:c>
    </x:row>
    <x:row r="10">
      <x:c r="A10" t="str">
        <x:v>Estudio Luz</x:v>
      </x:c>
      <x:c r="B10" t="str">
        <x:v>Cuota 2</x:v>
      </x:c>
      <x:c r="C10" s="77" t="n">
        <x:v>46249</x:v>
      </x:c>
      <x:c r="D10" s="77"/>
      <x:c r="E10" t="n">
        <x:v>750</x:v>
      </x:c>
      <x:c r="F10" t="str">
        <x:v>USD</x:v>
      </x:c>
      <x:c r="G10" t="str">
        <x:v>Transferencia</x:v>
      </x:c>
      <x:c r="H10" t="str">
        <x:v>Pendiente</x:v>
      </x:c>
    </x:row>
    <x:row r="11">
      <x:c r="A11" t="str">
        <x:v>Estudio Luz</x:v>
      </x:c>
      <x:c r="B11" t="str">
        <x:v>Saldo</x:v>
      </x:c>
      <x:c r="C11" s="77" t="n">
        <x:v>46255</x:v>
      </x:c>
      <x:c r="D11" s="77"/>
      <x:c r="E11" t="n">
        <x:v>750</x:v>
      </x:c>
      <x:c r="F11" t="str">
        <x:v>USD</x:v>
      </x:c>
      <x:c r="G11" t="str">
        <x:v>Efectivo</x:v>
      </x:c>
      <x:c r="H11" t="str">
        <x:v>Pendiente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28" hidden="0" customWidth="1"/>
    <x:col min="5" max="5" width="16" hidden="0" customWidth="1"/>
    <x:col min="6" max="6" width="11" hidden="0" customWidth="1"/>
    <x:col min="7" max="7" width="19" hidden="0" customWidth="1"/>
    <x:col min="8" max="8" width="19" hidden="0" customWidth="1"/>
    <x:col min="9" max="9" width="16" hidden="0" customWidth="1"/>
    <x:col min="10" max="10" width="34" hidden="0" customWidth="1"/>
    <x:col min="11" max="11" width="32" hidden="0" customWidth="1"/>
    <x:col min="12" max="12" width="34" hidden="0" customWidth="1"/>
    <x:col min="13" max="13" width="15" hidden="0" customWidth="1"/>
    <x:col min="14" max="14" width="12" hidden="0" customWidth="1"/>
    <x:col min="15" max="15" width="14" hidden="0" customWidth="1"/>
    <x:col min="16" max="16" width="34" hidden="0" customWidth="1"/>
  </x:cols>
  <x:sheetData>
    <x:row r="1">
      <x:c r="A1" s="93" t="str">
        <x:v>COTIZACIONES DEL EVENTO</x:v>
      </x:c>
    </x:row>
    <x:row r="2">
      <x:c r="A2" s="96" t="str">
        <x:v>Una propuesta por fila. Elegí proveedor, categoría y moneda. Podés comparar varias propuestas antes de seleccionar o contratar desde la app.</x:v>
      </x:c>
    </x:row>
    <x:row r="4">
      <x:c r="A4" s="99" t="str">
        <x:v>NO EDITAR</x:v>
      </x:c>
      <x:c r="B4" s="99" t="str">
        <x:v>ELEGÍ ▼</x:v>
      </x:c>
      <x:c r="C4" s="99" t="str">
        <x:v>ELEGÍ ▼</x:v>
      </x:c>
      <x:c r="D4" s="99" t="str">
        <x:v>ESCRIBÍ</x:v>
      </x:c>
      <x:c r="E4" s="99" t="str">
        <x:v>ESCRIBÍ</x:v>
      </x:c>
      <x:c r="F4" s="99" t="str">
        <x:v>ELEGÍ ▼</x:v>
      </x:c>
      <x:c r="G4" s="99" t="str">
        <x:v>ESCRIBÍ / 1</x:v>
      </x:c>
      <x:c r="H4" s="99" t="str">
        <x:v>AUTO</x:v>
      </x:c>
      <x:c r="I4" s="99" t="str">
        <x:v>ESCRIBÍ</x:v>
      </x:c>
      <x:c r="J4" s="99" t="str">
        <x:v>ESCRIBÍ</x:v>
      </x:c>
      <x:c r="K4" s="99" t="str">
        <x:v>ESCRIBÍ</x:v>
      </x:c>
      <x:c r="L4" s="99" t="str">
        <x:v>ESCRIBÍ</x:v>
      </x:c>
      <x:c r="M4" s="99" t="str">
        <x:v>FECHA</x:v>
      </x:c>
      <x:c r="N4" s="99" t="str">
        <x:v>1 A 5</x:v>
      </x:c>
      <x:c r="O4" s="99" t="str">
        <x:v>ELEGÍ ▼</x:v>
      </x:c>
      <x:c r="P4" s="99" t="str">
        <x:v>ESCRIBÍ</x:v>
      </x:c>
    </x:row>
    <x:row r="5">
      <x:c r="A5" s="105" t="str">
        <x:v>ID cotización</x:v>
      </x:c>
      <x:c r="B5" s="105" t="str">
        <x:v>Proveedor</x:v>
      </x:c>
      <x:c r="C5" s="105" t="str">
        <x:v>Categoría</x:v>
      </x:c>
      <x:c r="D5" s="105" t="str">
        <x:v>Título</x:v>
      </x:c>
      <x:c r="E5" s="105" t="str">
        <x:v>Importe</x:v>
      </x:c>
      <x:c r="F5" s="105" t="str">
        <x:v>Moneda</x:v>
      </x:c>
      <x:c r="G5" s="105" t="str">
        <x:v>Tipo de cambio a moneda base</x:v>
      </x:c>
      <x:c r="H5" s="105" t="str">
        <x:v>Equivalente en moneda base</x:v>
      </x:c>
      <x:c r="I5" s="105" t="str">
        <x:v>Seña</x:v>
      </x:c>
      <x:c r="J5" s="105" t="str">
        <x:v>Incluye</x:v>
      </x:c>
      <x:c r="K5" s="105" t="str">
        <x:v>Extras / no incluye</x:v>
      </x:c>
      <x:c r="L5" s="105" t="str">
        <x:v>Condiciones de pago</x:v>
      </x:c>
      <x:c r="M5" s="105" t="str">
        <x:v>Vigencia</x:v>
      </x:c>
      <x:c r="N5" s="105" t="str">
        <x:v>Valoración</x:v>
      </x:c>
      <x:c r="O5" s="105" t="str">
        <x:v>Seleccionada</x:v>
      </x:c>
      <x:c r="P5" s="105" t="str">
        <x:v>Notas</x:v>
      </x:c>
    </x:row>
    <x:row r="6">
      <x:c r="A6" s="109"/>
      <x:c r="B6" s="107"/>
      <x:c r="C6" s="107"/>
      <x:c r="D6" s="108"/>
      <x:c r="E6" s="110"/>
      <x:c r="F6" s="110"/>
      <x:c r="G6" s="110"/>
      <x:c r="H6" s="111" t="str">
        <x:f>IF(E6="","",E6*IF(G6="",1,G6))</x:f>
      </x:c>
      <x:c r="I6" s="110"/>
      <x:c r="J6" s="113"/>
      <x:c r="K6" s="113"/>
      <x:c r="L6" s="113"/>
      <x:c r="M6" s="112"/>
      <x:c r="N6" s="108"/>
      <x:c r="O6" s="107"/>
      <x:c r="P6" s="113"/>
    </x:row>
    <x:row r="7">
      <x:c r="A7" s="109"/>
      <x:c r="B7" s="107"/>
      <x:c r="C7" s="107"/>
      <x:c r="D7" s="108"/>
      <x:c r="E7" s="110"/>
      <x:c r="F7" s="110"/>
      <x:c r="G7" s="110"/>
      <x:c r="H7" s="111" t="str">
        <x:f>IF(E7="","",E7*IF(G7="",1,G7))</x:f>
      </x:c>
      <x:c r="I7" s="110"/>
      <x:c r="J7" s="113"/>
      <x:c r="K7" s="113"/>
      <x:c r="L7" s="113"/>
      <x:c r="M7" s="112"/>
      <x:c r="N7" s="108"/>
      <x:c r="O7" s="107"/>
      <x:c r="P7" s="113"/>
    </x:row>
    <x:row r="8">
      <x:c r="A8" s="109"/>
      <x:c r="B8" s="107"/>
      <x:c r="C8" s="107"/>
      <x:c r="D8" s="108"/>
      <x:c r="E8" s="110"/>
      <x:c r="F8" s="110"/>
      <x:c r="G8" s="110"/>
      <x:c r="H8" s="111" t="str">
        <x:f>IF(E8="","",E8*IF(G8="",1,G8))</x:f>
      </x:c>
      <x:c r="I8" s="110"/>
      <x:c r="J8" s="113"/>
      <x:c r="K8" s="113"/>
      <x:c r="L8" s="113"/>
      <x:c r="M8" s="112"/>
      <x:c r="N8" s="108"/>
      <x:c r="O8" s="107"/>
      <x:c r="P8" s="113"/>
    </x:row>
    <x:row r="9">
      <x:c r="A9" s="109"/>
      <x:c r="B9" s="107"/>
      <x:c r="C9" s="107"/>
      <x:c r="D9" s="108"/>
      <x:c r="E9" s="110"/>
      <x:c r="F9" s="110"/>
      <x:c r="G9" s="110"/>
      <x:c r="H9" s="111" t="str">
        <x:f>IF(E9="","",E9*IF(G9="",1,G9))</x:f>
      </x:c>
      <x:c r="I9" s="110"/>
      <x:c r="J9" s="113"/>
      <x:c r="K9" s="113"/>
      <x:c r="L9" s="113"/>
      <x:c r="M9" s="112"/>
      <x:c r="N9" s="108"/>
      <x:c r="O9" s="107"/>
      <x:c r="P9" s="113"/>
    </x:row>
    <x:row r="10">
      <x:c r="A10" s="109"/>
      <x:c r="B10" s="107"/>
      <x:c r="C10" s="107"/>
      <x:c r="D10" s="108"/>
      <x:c r="E10" s="110"/>
      <x:c r="F10" s="110"/>
      <x:c r="G10" s="110"/>
      <x:c r="H10" s="111" t="str">
        <x:f>IF(E10="","",E10*IF(G10="",1,G10))</x:f>
      </x:c>
      <x:c r="I10" s="110"/>
      <x:c r="J10" s="113"/>
      <x:c r="K10" s="113"/>
      <x:c r="L10" s="113"/>
      <x:c r="M10" s="112"/>
      <x:c r="N10" s="108"/>
      <x:c r="O10" s="107"/>
      <x:c r="P10" s="113"/>
    </x:row>
    <x:row r="11">
      <x:c r="A11" s="109"/>
      <x:c r="B11" s="107"/>
      <x:c r="C11" s="107"/>
      <x:c r="D11" s="108"/>
      <x:c r="E11" s="110"/>
      <x:c r="F11" s="110"/>
      <x:c r="G11" s="110"/>
      <x:c r="H11" s="111" t="str">
        <x:f>IF(E11="","",E11*IF(G11="",1,G11))</x:f>
      </x:c>
      <x:c r="I11" s="110"/>
      <x:c r="J11" s="113"/>
      <x:c r="K11" s="113"/>
      <x:c r="L11" s="113"/>
      <x:c r="M11" s="112"/>
      <x:c r="N11" s="108"/>
      <x:c r="O11" s="107"/>
      <x:c r="P11" s="113"/>
    </x:row>
    <x:row r="12">
      <x:c r="A12" s="109"/>
      <x:c r="B12" s="107"/>
      <x:c r="C12" s="107"/>
      <x:c r="D12" s="108"/>
      <x:c r="E12" s="110"/>
      <x:c r="F12" s="110"/>
      <x:c r="G12" s="110"/>
      <x:c r="H12" s="111" t="str">
        <x:f>IF(E12="","",E12*IF(G12="",1,G12))</x:f>
      </x:c>
      <x:c r="I12" s="110"/>
      <x:c r="J12" s="113"/>
      <x:c r="K12" s="113"/>
      <x:c r="L12" s="113"/>
      <x:c r="M12" s="112"/>
      <x:c r="N12" s="108"/>
      <x:c r="O12" s="107"/>
      <x:c r="P12" s="113"/>
    </x:row>
    <x:row r="13">
      <x:c r="A13" s="109"/>
      <x:c r="B13" s="107"/>
      <x:c r="C13" s="107"/>
      <x:c r="D13" s="108"/>
      <x:c r="E13" s="110"/>
      <x:c r="F13" s="110"/>
      <x:c r="G13" s="110"/>
      <x:c r="H13" s="111" t="str">
        <x:f>IF(E13="","",E13*IF(G13="",1,G13))</x:f>
      </x:c>
      <x:c r="I13" s="110"/>
      <x:c r="J13" s="113"/>
      <x:c r="K13" s="113"/>
      <x:c r="L13" s="113"/>
      <x:c r="M13" s="112"/>
      <x:c r="N13" s="108"/>
      <x:c r="O13" s="107"/>
      <x:c r="P13" s="113"/>
    </x:row>
    <x:row r="14">
      <x:c r="A14" s="109"/>
      <x:c r="B14" s="107"/>
      <x:c r="C14" s="107"/>
      <x:c r="D14" s="108"/>
      <x:c r="E14" s="110"/>
      <x:c r="F14" s="110"/>
      <x:c r="G14" s="110"/>
      <x:c r="H14" s="111" t="str">
        <x:f>IF(E14="","",E14*IF(G14="",1,G14))</x:f>
      </x:c>
      <x:c r="I14" s="110"/>
      <x:c r="J14" s="113"/>
      <x:c r="K14" s="113"/>
      <x:c r="L14" s="113"/>
      <x:c r="M14" s="112"/>
      <x:c r="N14" s="108"/>
      <x:c r="O14" s="107"/>
      <x:c r="P14" s="113"/>
    </x:row>
    <x:row r="15">
      <x:c r="A15" s="109"/>
      <x:c r="B15" s="107"/>
      <x:c r="C15" s="107"/>
      <x:c r="D15" s="108"/>
      <x:c r="E15" s="110"/>
      <x:c r="F15" s="110"/>
      <x:c r="G15" s="110"/>
      <x:c r="H15" s="111" t="str">
        <x:f>IF(E15="","",E15*IF(G15="",1,G15))</x:f>
      </x:c>
      <x:c r="I15" s="110"/>
      <x:c r="J15" s="113"/>
      <x:c r="K15" s="113"/>
      <x:c r="L15" s="113"/>
      <x:c r="M15" s="112"/>
      <x:c r="N15" s="108"/>
      <x:c r="O15" s="107"/>
      <x:c r="P15" s="113"/>
    </x:row>
    <x:row r="16">
      <x:c r="A16" s="109"/>
      <x:c r="B16" s="107"/>
      <x:c r="C16" s="107"/>
      <x:c r="D16" s="108"/>
      <x:c r="E16" s="110"/>
      <x:c r="F16" s="110"/>
      <x:c r="G16" s="110"/>
      <x:c r="H16" s="111" t="str">
        <x:f>IF(E16="","",E16*IF(G16="",1,G16))</x:f>
      </x:c>
      <x:c r="I16" s="110"/>
      <x:c r="J16" s="113"/>
      <x:c r="K16" s="113"/>
      <x:c r="L16" s="113"/>
      <x:c r="M16" s="112"/>
      <x:c r="N16" s="108"/>
      <x:c r="O16" s="107"/>
      <x:c r="P16" s="113"/>
    </x:row>
    <x:row r="17">
      <x:c r="A17" s="109"/>
      <x:c r="B17" s="107"/>
      <x:c r="C17" s="107"/>
      <x:c r="D17" s="108"/>
      <x:c r="E17" s="110"/>
      <x:c r="F17" s="110"/>
      <x:c r="G17" s="110"/>
      <x:c r="H17" s="111" t="str">
        <x:f>IF(E17="","",E17*IF(G17="",1,G17))</x:f>
      </x:c>
      <x:c r="I17" s="110"/>
      <x:c r="J17" s="113"/>
      <x:c r="K17" s="113"/>
      <x:c r="L17" s="113"/>
      <x:c r="M17" s="112"/>
      <x:c r="N17" s="108"/>
      <x:c r="O17" s="107"/>
      <x:c r="P17" s="113"/>
    </x:row>
    <x:row r="18">
      <x:c r="A18" s="109"/>
      <x:c r="B18" s="107"/>
      <x:c r="C18" s="107"/>
      <x:c r="D18" s="108"/>
      <x:c r="E18" s="110"/>
      <x:c r="F18" s="110"/>
      <x:c r="G18" s="110"/>
      <x:c r="H18" s="111" t="str">
        <x:f>IF(E18="","",E18*IF(G18="",1,G18))</x:f>
      </x:c>
      <x:c r="I18" s="110"/>
      <x:c r="J18" s="113"/>
      <x:c r="K18" s="113"/>
      <x:c r="L18" s="113"/>
      <x:c r="M18" s="112"/>
      <x:c r="N18" s="108"/>
      <x:c r="O18" s="107"/>
      <x:c r="P18" s="113"/>
    </x:row>
    <x:row r="19">
      <x:c r="A19" s="109"/>
      <x:c r="B19" s="107"/>
      <x:c r="C19" s="107"/>
      <x:c r="D19" s="108"/>
      <x:c r="E19" s="110"/>
      <x:c r="F19" s="110"/>
      <x:c r="G19" s="110"/>
      <x:c r="H19" s="111" t="str">
        <x:f>IF(E19="","",E19*IF(G19="",1,G19))</x:f>
      </x:c>
      <x:c r="I19" s="110"/>
      <x:c r="J19" s="113"/>
      <x:c r="K19" s="113"/>
      <x:c r="L19" s="113"/>
      <x:c r="M19" s="112"/>
      <x:c r="N19" s="108"/>
      <x:c r="O19" s="107"/>
      <x:c r="P19" s="113"/>
    </x:row>
    <x:row r="20">
      <x:c r="A20" s="109"/>
      <x:c r="B20" s="107"/>
      <x:c r="C20" s="107"/>
      <x:c r="D20" s="108"/>
      <x:c r="E20" s="110"/>
      <x:c r="F20" s="110"/>
      <x:c r="G20" s="110"/>
      <x:c r="H20" s="111" t="str">
        <x:f>IF(E20="","",E20*IF(G20="",1,G20))</x:f>
      </x:c>
      <x:c r="I20" s="110"/>
      <x:c r="J20" s="113"/>
      <x:c r="K20" s="113"/>
      <x:c r="L20" s="113"/>
      <x:c r="M20" s="112"/>
      <x:c r="N20" s="108"/>
      <x:c r="O20" s="107"/>
      <x:c r="P20" s="113"/>
    </x:row>
    <x:row r="21">
      <x:c r="A21" s="109"/>
      <x:c r="B21" s="107"/>
      <x:c r="C21" s="107"/>
      <x:c r="D21" s="108"/>
      <x:c r="E21" s="110"/>
      <x:c r="F21" s="110"/>
      <x:c r="G21" s="110"/>
      <x:c r="H21" s="111" t="str">
        <x:f>IF(E21="","",E21*IF(G21="",1,G21))</x:f>
      </x:c>
      <x:c r="I21" s="110"/>
      <x:c r="J21" s="113"/>
      <x:c r="K21" s="113"/>
      <x:c r="L21" s="113"/>
      <x:c r="M21" s="112"/>
      <x:c r="N21" s="108"/>
      <x:c r="O21" s="107"/>
      <x:c r="P21" s="113"/>
    </x:row>
    <x:row r="22">
      <x:c r="A22" s="109"/>
      <x:c r="B22" s="107"/>
      <x:c r="C22" s="107"/>
      <x:c r="D22" s="108"/>
      <x:c r="E22" s="110"/>
      <x:c r="F22" s="110"/>
      <x:c r="G22" s="110"/>
      <x:c r="H22" s="111" t="str">
        <x:f>IF(E22="","",E22*IF(G22="",1,G22))</x:f>
      </x:c>
      <x:c r="I22" s="110"/>
      <x:c r="J22" s="113"/>
      <x:c r="K22" s="113"/>
      <x:c r="L22" s="113"/>
      <x:c r="M22" s="112"/>
      <x:c r="N22" s="108"/>
      <x:c r="O22" s="107"/>
      <x:c r="P22" s="113"/>
    </x:row>
    <x:row r="23">
      <x:c r="A23" s="109"/>
      <x:c r="B23" s="107"/>
      <x:c r="C23" s="107"/>
      <x:c r="D23" s="108"/>
      <x:c r="E23" s="110"/>
      <x:c r="F23" s="110"/>
      <x:c r="G23" s="110"/>
      <x:c r="H23" s="111" t="str">
        <x:f>IF(E23="","",E23*IF(G23="",1,G23))</x:f>
      </x:c>
      <x:c r="I23" s="110"/>
      <x:c r="J23" s="113"/>
      <x:c r="K23" s="113"/>
      <x:c r="L23" s="113"/>
      <x:c r="M23" s="112"/>
      <x:c r="N23" s="108"/>
      <x:c r="O23" s="107"/>
      <x:c r="P23" s="113"/>
    </x:row>
    <x:row r="24">
      <x:c r="A24" s="109"/>
      <x:c r="B24" s="107"/>
      <x:c r="C24" s="107"/>
      <x:c r="D24" s="108"/>
      <x:c r="E24" s="110"/>
      <x:c r="F24" s="110"/>
      <x:c r="G24" s="110"/>
      <x:c r="H24" s="111" t="str">
        <x:f>IF(E24="","",E24*IF(G24="",1,G24))</x:f>
      </x:c>
      <x:c r="I24" s="110"/>
      <x:c r="J24" s="113"/>
      <x:c r="K24" s="113"/>
      <x:c r="L24" s="113"/>
      <x:c r="M24" s="112"/>
      <x:c r="N24" s="108"/>
      <x:c r="O24" s="107"/>
      <x:c r="P24" s="113"/>
    </x:row>
    <x:row r="25">
      <x:c r="A25" s="109"/>
      <x:c r="B25" s="107"/>
      <x:c r="C25" s="107"/>
      <x:c r="D25" s="108"/>
      <x:c r="E25" s="110"/>
      <x:c r="F25" s="110"/>
      <x:c r="G25" s="110"/>
      <x:c r="H25" s="111" t="str">
        <x:f>IF(E25="","",E25*IF(G25="",1,G25))</x:f>
      </x:c>
      <x:c r="I25" s="110"/>
      <x:c r="J25" s="113"/>
      <x:c r="K25" s="113"/>
      <x:c r="L25" s="113"/>
      <x:c r="M25" s="112"/>
      <x:c r="N25" s="108"/>
      <x:c r="O25" s="107"/>
      <x:c r="P25" s="113"/>
    </x:row>
    <x:row r="26">
      <x:c r="A26" s="109"/>
      <x:c r="B26" s="107"/>
      <x:c r="C26" s="107"/>
      <x:c r="D26" s="108"/>
      <x:c r="E26" s="110"/>
      <x:c r="F26" s="110"/>
      <x:c r="G26" s="110"/>
      <x:c r="H26" s="111" t="str">
        <x:f>IF(E26="","",E26*IF(G26="",1,G26))</x:f>
      </x:c>
      <x:c r="I26" s="110"/>
      <x:c r="J26" s="113"/>
      <x:c r="K26" s="113"/>
      <x:c r="L26" s="113"/>
      <x:c r="M26" s="112"/>
      <x:c r="N26" s="108"/>
      <x:c r="O26" s="107"/>
      <x:c r="P26" s="113"/>
    </x:row>
    <x:row r="27">
      <x:c r="A27" s="109"/>
      <x:c r="B27" s="107"/>
      <x:c r="C27" s="107"/>
      <x:c r="D27" s="108"/>
      <x:c r="E27" s="110"/>
      <x:c r="F27" s="110"/>
      <x:c r="G27" s="110"/>
      <x:c r="H27" s="111" t="str">
        <x:f>IF(E27="","",E27*IF(G27="",1,G27))</x:f>
      </x:c>
      <x:c r="I27" s="110"/>
      <x:c r="J27" s="113"/>
      <x:c r="K27" s="113"/>
      <x:c r="L27" s="113"/>
      <x:c r="M27" s="112"/>
      <x:c r="N27" s="108"/>
      <x:c r="O27" s="107"/>
      <x:c r="P27" s="113"/>
    </x:row>
    <x:row r="28">
      <x:c r="A28" s="109"/>
      <x:c r="B28" s="107"/>
      <x:c r="C28" s="107"/>
      <x:c r="D28" s="108"/>
      <x:c r="E28" s="110"/>
      <x:c r="F28" s="110"/>
      <x:c r="G28" s="110"/>
      <x:c r="H28" s="111" t="str">
        <x:f>IF(E28="","",E28*IF(G28="",1,G28))</x:f>
      </x:c>
      <x:c r="I28" s="110"/>
      <x:c r="J28" s="113"/>
      <x:c r="K28" s="113"/>
      <x:c r="L28" s="113"/>
      <x:c r="M28" s="112"/>
      <x:c r="N28" s="108"/>
      <x:c r="O28" s="107"/>
      <x:c r="P28" s="113"/>
    </x:row>
    <x:row r="29">
      <x:c r="A29" s="109"/>
      <x:c r="B29" s="107"/>
      <x:c r="C29" s="107"/>
      <x:c r="D29" s="108"/>
      <x:c r="E29" s="110"/>
      <x:c r="F29" s="110"/>
      <x:c r="G29" s="110"/>
      <x:c r="H29" s="111" t="str">
        <x:f>IF(E29="","",E29*IF(G29="",1,G29))</x:f>
      </x:c>
      <x:c r="I29" s="110"/>
      <x:c r="J29" s="113"/>
      <x:c r="K29" s="113"/>
      <x:c r="L29" s="113"/>
      <x:c r="M29" s="112"/>
      <x:c r="N29" s="108"/>
      <x:c r="O29" s="107"/>
      <x:c r="P29" s="113"/>
    </x:row>
    <x:row r="30">
      <x:c r="A30" s="109"/>
      <x:c r="B30" s="107"/>
      <x:c r="C30" s="107"/>
      <x:c r="D30" s="108"/>
      <x:c r="E30" s="110"/>
      <x:c r="F30" s="110"/>
      <x:c r="G30" s="110"/>
      <x:c r="H30" s="111" t="str">
        <x:f>IF(E30="","",E30*IF(G30="",1,G30))</x:f>
      </x:c>
      <x:c r="I30" s="110"/>
      <x:c r="J30" s="113"/>
      <x:c r="K30" s="113"/>
      <x:c r="L30" s="113"/>
      <x:c r="M30" s="112"/>
      <x:c r="N30" s="108"/>
      <x:c r="O30" s="107"/>
      <x:c r="P30" s="113"/>
    </x:row>
    <x:row r="31">
      <x:c r="A31" s="109"/>
      <x:c r="B31" s="107"/>
      <x:c r="C31" s="107"/>
      <x:c r="D31" s="108"/>
      <x:c r="E31" s="110"/>
      <x:c r="F31" s="110"/>
      <x:c r="G31" s="110"/>
      <x:c r="H31" s="111" t="str">
        <x:f>IF(E31="","",E31*IF(G31="",1,G31))</x:f>
      </x:c>
      <x:c r="I31" s="110"/>
      <x:c r="J31" s="113"/>
      <x:c r="K31" s="113"/>
      <x:c r="L31" s="113"/>
      <x:c r="M31" s="112"/>
      <x:c r="N31" s="108"/>
      <x:c r="O31" s="107"/>
      <x:c r="P31" s="113"/>
    </x:row>
    <x:row r="32">
      <x:c r="A32" s="109"/>
      <x:c r="B32" s="107"/>
      <x:c r="C32" s="107"/>
      <x:c r="D32" s="108"/>
      <x:c r="E32" s="110"/>
      <x:c r="F32" s="110"/>
      <x:c r="G32" s="110"/>
      <x:c r="H32" s="111" t="str">
        <x:f>IF(E32="","",E32*IF(G32="",1,G32))</x:f>
      </x:c>
      <x:c r="I32" s="110"/>
      <x:c r="J32" s="113"/>
      <x:c r="K32" s="113"/>
      <x:c r="L32" s="113"/>
      <x:c r="M32" s="112"/>
      <x:c r="N32" s="108"/>
      <x:c r="O32" s="107"/>
      <x:c r="P32" s="113"/>
    </x:row>
    <x:row r="33">
      <x:c r="A33" s="109"/>
      <x:c r="B33" s="107"/>
      <x:c r="C33" s="107"/>
      <x:c r="D33" s="108"/>
      <x:c r="E33" s="110"/>
      <x:c r="F33" s="110"/>
      <x:c r="G33" s="110"/>
      <x:c r="H33" s="111" t="str">
        <x:f>IF(E33="","",E33*IF(G33="",1,G33))</x:f>
      </x:c>
      <x:c r="I33" s="110"/>
      <x:c r="J33" s="113"/>
      <x:c r="K33" s="113"/>
      <x:c r="L33" s="113"/>
      <x:c r="M33" s="112"/>
      <x:c r="N33" s="108"/>
      <x:c r="O33" s="107"/>
      <x:c r="P33" s="113"/>
    </x:row>
    <x:row r="34">
      <x:c r="A34" s="109"/>
      <x:c r="B34" s="107"/>
      <x:c r="C34" s="107"/>
      <x:c r="D34" s="108"/>
      <x:c r="E34" s="110"/>
      <x:c r="F34" s="110"/>
      <x:c r="G34" s="110"/>
      <x:c r="H34" s="111" t="str">
        <x:f>IF(E34="","",E34*IF(G34="",1,G34))</x:f>
      </x:c>
      <x:c r="I34" s="110"/>
      <x:c r="J34" s="113"/>
      <x:c r="K34" s="113"/>
      <x:c r="L34" s="113"/>
      <x:c r="M34" s="112"/>
      <x:c r="N34" s="108"/>
      <x:c r="O34" s="107"/>
      <x:c r="P34" s="113"/>
    </x:row>
    <x:row r="35">
      <x:c r="A35" s="109"/>
      <x:c r="B35" s="107"/>
      <x:c r="C35" s="107"/>
      <x:c r="D35" s="108"/>
      <x:c r="E35" s="110"/>
      <x:c r="F35" s="110"/>
      <x:c r="G35" s="110"/>
      <x:c r="H35" s="111" t="str">
        <x:f>IF(E35="","",E35*IF(G35="",1,G35))</x:f>
      </x:c>
      <x:c r="I35" s="110"/>
      <x:c r="J35" s="113"/>
      <x:c r="K35" s="113"/>
      <x:c r="L35" s="113"/>
      <x:c r="M35" s="112"/>
      <x:c r="N35" s="108"/>
      <x:c r="O35" s="107"/>
      <x:c r="P35" s="113"/>
    </x:row>
    <x:row r="36">
      <x:c r="A36" s="109"/>
      <x:c r="B36" s="107"/>
      <x:c r="C36" s="107"/>
      <x:c r="D36" s="108"/>
      <x:c r="E36" s="110"/>
      <x:c r="F36" s="110"/>
      <x:c r="G36" s="110"/>
      <x:c r="H36" s="111" t="str">
        <x:f>IF(E36="","",E36*IF(G36="",1,G36))</x:f>
      </x:c>
      <x:c r="I36" s="110"/>
      <x:c r="J36" s="113"/>
      <x:c r="K36" s="113"/>
      <x:c r="L36" s="113"/>
      <x:c r="M36" s="112"/>
      <x:c r="N36" s="108"/>
      <x:c r="O36" s="107"/>
      <x:c r="P36" s="113"/>
    </x:row>
    <x:row r="37">
      <x:c r="A37" s="109"/>
      <x:c r="B37" s="107"/>
      <x:c r="C37" s="107"/>
      <x:c r="D37" s="108"/>
      <x:c r="E37" s="110"/>
      <x:c r="F37" s="110"/>
      <x:c r="G37" s="110"/>
      <x:c r="H37" s="111" t="str">
        <x:f>IF(E37="","",E37*IF(G37="",1,G37))</x:f>
      </x:c>
      <x:c r="I37" s="110"/>
      <x:c r="J37" s="113"/>
      <x:c r="K37" s="113"/>
      <x:c r="L37" s="113"/>
      <x:c r="M37" s="112"/>
      <x:c r="N37" s="108"/>
      <x:c r="O37" s="107"/>
      <x:c r="P37" s="113"/>
    </x:row>
    <x:row r="38">
      <x:c r="A38" s="109"/>
      <x:c r="B38" s="107"/>
      <x:c r="C38" s="107"/>
      <x:c r="D38" s="108"/>
      <x:c r="E38" s="110"/>
      <x:c r="F38" s="110"/>
      <x:c r="G38" s="110"/>
      <x:c r="H38" s="111" t="str">
        <x:f>IF(E38="","",E38*IF(G38="",1,G38))</x:f>
      </x:c>
      <x:c r="I38" s="110"/>
      <x:c r="J38" s="113"/>
      <x:c r="K38" s="113"/>
      <x:c r="L38" s="113"/>
      <x:c r="M38" s="112"/>
      <x:c r="N38" s="108"/>
      <x:c r="O38" s="107"/>
      <x:c r="P38" s="113"/>
    </x:row>
    <x:row r="39">
      <x:c r="A39" s="109"/>
      <x:c r="B39" s="107"/>
      <x:c r="C39" s="107"/>
      <x:c r="D39" s="108"/>
      <x:c r="E39" s="110"/>
      <x:c r="F39" s="110"/>
      <x:c r="G39" s="110"/>
      <x:c r="H39" s="111" t="str">
        <x:f>IF(E39="","",E39*IF(G39="",1,G39))</x:f>
      </x:c>
      <x:c r="I39" s="110"/>
      <x:c r="J39" s="113"/>
      <x:c r="K39" s="113"/>
      <x:c r="L39" s="113"/>
      <x:c r="M39" s="112"/>
      <x:c r="N39" s="108"/>
      <x:c r="O39" s="107"/>
      <x:c r="P39" s="113"/>
    </x:row>
    <x:row r="40">
      <x:c r="A40" s="109"/>
      <x:c r="B40" s="107"/>
      <x:c r="C40" s="107"/>
      <x:c r="D40" s="108"/>
      <x:c r="E40" s="110"/>
      <x:c r="F40" s="110"/>
      <x:c r="G40" s="110"/>
      <x:c r="H40" s="111" t="str">
        <x:f>IF(E40="","",E40*IF(G40="",1,G40))</x:f>
      </x:c>
      <x:c r="I40" s="110"/>
      <x:c r="J40" s="113"/>
      <x:c r="K40" s="113"/>
      <x:c r="L40" s="113"/>
      <x:c r="M40" s="112"/>
      <x:c r="N40" s="108"/>
      <x:c r="O40" s="107"/>
      <x:c r="P40" s="113"/>
    </x:row>
    <x:row r="41">
      <x:c r="A41" s="109"/>
      <x:c r="B41" s="107"/>
      <x:c r="C41" s="107"/>
      <x:c r="D41" s="108"/>
      <x:c r="E41" s="110"/>
      <x:c r="F41" s="110"/>
      <x:c r="G41" s="110"/>
      <x:c r="H41" s="111" t="str">
        <x:f>IF(E41="","",E41*IF(G41="",1,G41))</x:f>
      </x:c>
      <x:c r="I41" s="110"/>
      <x:c r="J41" s="113"/>
      <x:c r="K41" s="113"/>
      <x:c r="L41" s="113"/>
      <x:c r="M41" s="112"/>
      <x:c r="N41" s="108"/>
      <x:c r="O41" s="107"/>
      <x:c r="P41" s="113"/>
    </x:row>
    <x:row r="42">
      <x:c r="A42" s="109"/>
      <x:c r="B42" s="107"/>
      <x:c r="C42" s="107"/>
      <x:c r="D42" s="108"/>
      <x:c r="E42" s="110"/>
      <x:c r="F42" s="110"/>
      <x:c r="G42" s="110"/>
      <x:c r="H42" s="111" t="str">
        <x:f>IF(E42="","",E42*IF(G42="",1,G42))</x:f>
      </x:c>
      <x:c r="I42" s="110"/>
      <x:c r="J42" s="113"/>
      <x:c r="K42" s="113"/>
      <x:c r="L42" s="113"/>
      <x:c r="M42" s="112"/>
      <x:c r="N42" s="108"/>
      <x:c r="O42" s="107"/>
      <x:c r="P42" s="113"/>
    </x:row>
    <x:row r="43">
      <x:c r="A43" s="109"/>
      <x:c r="B43" s="107"/>
      <x:c r="C43" s="107"/>
      <x:c r="D43" s="108"/>
      <x:c r="E43" s="110"/>
      <x:c r="F43" s="110"/>
      <x:c r="G43" s="110"/>
      <x:c r="H43" s="111" t="str">
        <x:f>IF(E43="","",E43*IF(G43="",1,G43))</x:f>
      </x:c>
      <x:c r="I43" s="110"/>
      <x:c r="J43" s="113"/>
      <x:c r="K43" s="113"/>
      <x:c r="L43" s="113"/>
      <x:c r="M43" s="112"/>
      <x:c r="N43" s="108"/>
      <x:c r="O43" s="107"/>
      <x:c r="P43" s="113"/>
    </x:row>
    <x:row r="44">
      <x:c r="A44" s="109"/>
      <x:c r="B44" s="107"/>
      <x:c r="C44" s="107"/>
      <x:c r="D44" s="108"/>
      <x:c r="E44" s="110"/>
      <x:c r="F44" s="110"/>
      <x:c r="G44" s="110"/>
      <x:c r="H44" s="111" t="str">
        <x:f>IF(E44="","",E44*IF(G44="",1,G44))</x:f>
      </x:c>
      <x:c r="I44" s="110"/>
      <x:c r="J44" s="113"/>
      <x:c r="K44" s="113"/>
      <x:c r="L44" s="113"/>
      <x:c r="M44" s="112"/>
      <x:c r="N44" s="108"/>
      <x:c r="O44" s="107"/>
      <x:c r="P44" s="113"/>
    </x:row>
    <x:row r="45">
      <x:c r="A45" s="109"/>
      <x:c r="B45" s="107"/>
      <x:c r="C45" s="107"/>
      <x:c r="D45" s="108"/>
      <x:c r="E45" s="110"/>
      <x:c r="F45" s="110"/>
      <x:c r="G45" s="110"/>
      <x:c r="H45" s="111" t="str">
        <x:f>IF(E45="","",E45*IF(G45="",1,G45))</x:f>
      </x:c>
      <x:c r="I45" s="110"/>
      <x:c r="J45" s="113"/>
      <x:c r="K45" s="113"/>
      <x:c r="L45" s="113"/>
      <x:c r="M45" s="112"/>
      <x:c r="N45" s="108"/>
      <x:c r="O45" s="107"/>
      <x:c r="P45" s="113"/>
    </x:row>
    <x:row r="46">
      <x:c r="A46" s="109"/>
      <x:c r="B46" s="107"/>
      <x:c r="C46" s="107"/>
      <x:c r="D46" s="108"/>
      <x:c r="E46" s="110"/>
      <x:c r="F46" s="110"/>
      <x:c r="G46" s="110"/>
      <x:c r="H46" s="111" t="str">
        <x:f>IF(E46="","",E46*IF(G46="",1,G46))</x:f>
      </x:c>
      <x:c r="I46" s="110"/>
      <x:c r="J46" s="113"/>
      <x:c r="K46" s="113"/>
      <x:c r="L46" s="113"/>
      <x:c r="M46" s="112"/>
      <x:c r="N46" s="108"/>
      <x:c r="O46" s="107"/>
      <x:c r="P46" s="113"/>
    </x:row>
    <x:row r="47">
      <x:c r="A47" s="109"/>
      <x:c r="B47" s="107"/>
      <x:c r="C47" s="107"/>
      <x:c r="D47" s="108"/>
      <x:c r="E47" s="110"/>
      <x:c r="F47" s="110"/>
      <x:c r="G47" s="110"/>
      <x:c r="H47" s="111" t="str">
        <x:f>IF(E47="","",E47*IF(G47="",1,G47))</x:f>
      </x:c>
      <x:c r="I47" s="110"/>
      <x:c r="J47" s="113"/>
      <x:c r="K47" s="113"/>
      <x:c r="L47" s="113"/>
      <x:c r="M47" s="112"/>
      <x:c r="N47" s="108"/>
      <x:c r="O47" s="107"/>
      <x:c r="P47" s="113"/>
    </x:row>
    <x:row r="48">
      <x:c r="A48" s="109"/>
      <x:c r="B48" s="107"/>
      <x:c r="C48" s="107"/>
      <x:c r="D48" s="108"/>
      <x:c r="E48" s="110"/>
      <x:c r="F48" s="110"/>
      <x:c r="G48" s="110"/>
      <x:c r="H48" s="111" t="str">
        <x:f>IF(E48="","",E48*IF(G48="",1,G48))</x:f>
      </x:c>
      <x:c r="I48" s="110"/>
      <x:c r="J48" s="113"/>
      <x:c r="K48" s="113"/>
      <x:c r="L48" s="113"/>
      <x:c r="M48" s="112"/>
      <x:c r="N48" s="108"/>
      <x:c r="O48" s="107"/>
      <x:c r="P48" s="113"/>
    </x:row>
    <x:row r="49">
      <x:c r="A49" s="109"/>
      <x:c r="B49" s="107"/>
      <x:c r="C49" s="107"/>
      <x:c r="D49" s="108"/>
      <x:c r="E49" s="110"/>
      <x:c r="F49" s="110"/>
      <x:c r="G49" s="110"/>
      <x:c r="H49" s="111" t="str">
        <x:f>IF(E49="","",E49*IF(G49="",1,G49))</x:f>
      </x:c>
      <x:c r="I49" s="110"/>
      <x:c r="J49" s="113"/>
      <x:c r="K49" s="113"/>
      <x:c r="L49" s="113"/>
      <x:c r="M49" s="112"/>
      <x:c r="N49" s="108"/>
      <x:c r="O49" s="107"/>
      <x:c r="P49" s="113"/>
    </x:row>
    <x:row r="50">
      <x:c r="A50" s="109"/>
      <x:c r="B50" s="107"/>
      <x:c r="C50" s="107"/>
      <x:c r="D50" s="108"/>
      <x:c r="E50" s="110"/>
      <x:c r="F50" s="110"/>
      <x:c r="G50" s="110"/>
      <x:c r="H50" s="111" t="str">
        <x:f>IF(E50="","",E50*IF(G50="",1,G50))</x:f>
      </x:c>
      <x:c r="I50" s="110"/>
      <x:c r="J50" s="113"/>
      <x:c r="K50" s="113"/>
      <x:c r="L50" s="113"/>
      <x:c r="M50" s="112"/>
      <x:c r="N50" s="108"/>
      <x:c r="O50" s="107"/>
      <x:c r="P50" s="113"/>
    </x:row>
    <x:row r="51">
      <x:c r="A51" s="109"/>
      <x:c r="B51" s="107"/>
      <x:c r="C51" s="107"/>
      <x:c r="D51" s="108"/>
      <x:c r="E51" s="110"/>
      <x:c r="F51" s="110"/>
      <x:c r="G51" s="110"/>
      <x:c r="H51" s="111" t="str">
        <x:f>IF(E51="","",E51*IF(G51="",1,G51))</x:f>
      </x:c>
      <x:c r="I51" s="110"/>
      <x:c r="J51" s="113"/>
      <x:c r="K51" s="113"/>
      <x:c r="L51" s="113"/>
      <x:c r="M51" s="112"/>
      <x:c r="N51" s="108"/>
      <x:c r="O51" s="107"/>
      <x:c r="P51" s="113"/>
    </x:row>
    <x:row r="52">
      <x:c r="A52" s="109"/>
      <x:c r="B52" s="107"/>
      <x:c r="C52" s="107"/>
      <x:c r="D52" s="108"/>
      <x:c r="E52" s="110"/>
      <x:c r="F52" s="110"/>
      <x:c r="G52" s="110"/>
      <x:c r="H52" s="111" t="str">
        <x:f>IF(E52="","",E52*IF(G52="",1,G52))</x:f>
      </x:c>
      <x:c r="I52" s="110"/>
      <x:c r="J52" s="113"/>
      <x:c r="K52" s="113"/>
      <x:c r="L52" s="113"/>
      <x:c r="M52" s="112"/>
      <x:c r="N52" s="108"/>
      <x:c r="O52" s="107"/>
      <x:c r="P52" s="113"/>
    </x:row>
    <x:row r="53">
      <x:c r="A53" s="109"/>
      <x:c r="B53" s="107"/>
      <x:c r="C53" s="107"/>
      <x:c r="D53" s="108"/>
      <x:c r="E53" s="110"/>
      <x:c r="F53" s="110"/>
      <x:c r="G53" s="110"/>
      <x:c r="H53" s="111" t="str">
        <x:f>IF(E53="","",E53*IF(G53="",1,G53))</x:f>
      </x:c>
      <x:c r="I53" s="110"/>
      <x:c r="J53" s="113"/>
      <x:c r="K53" s="113"/>
      <x:c r="L53" s="113"/>
      <x:c r="M53" s="112"/>
      <x:c r="N53" s="108"/>
      <x:c r="O53" s="107"/>
      <x:c r="P53" s="113"/>
    </x:row>
    <x:row r="54">
      <x:c r="A54" s="109"/>
      <x:c r="B54" s="107"/>
      <x:c r="C54" s="107"/>
      <x:c r="D54" s="108"/>
      <x:c r="E54" s="110"/>
      <x:c r="F54" s="110"/>
      <x:c r="G54" s="110"/>
      <x:c r="H54" s="111" t="str">
        <x:f>IF(E54="","",E54*IF(G54="",1,G54))</x:f>
      </x:c>
      <x:c r="I54" s="110"/>
      <x:c r="J54" s="113"/>
      <x:c r="K54" s="113"/>
      <x:c r="L54" s="113"/>
      <x:c r="M54" s="112"/>
      <x:c r="N54" s="108"/>
      <x:c r="O54" s="107"/>
      <x:c r="P54" s="113"/>
    </x:row>
    <x:row r="55">
      <x:c r="A55" s="109"/>
      <x:c r="B55" s="107"/>
      <x:c r="C55" s="107"/>
      <x:c r="D55" s="108"/>
      <x:c r="E55" s="110"/>
      <x:c r="F55" s="110"/>
      <x:c r="G55" s="110"/>
      <x:c r="H55" s="111" t="str">
        <x:f>IF(E55="","",E55*IF(G55="",1,G55))</x:f>
      </x:c>
      <x:c r="I55" s="110"/>
      <x:c r="J55" s="113"/>
      <x:c r="K55" s="113"/>
      <x:c r="L55" s="113"/>
      <x:c r="M55" s="112"/>
      <x:c r="N55" s="108"/>
      <x:c r="O55" s="107"/>
      <x:c r="P55" s="113"/>
    </x:row>
    <x:row r="56">
      <x:c r="A56" s="109"/>
      <x:c r="B56" s="107"/>
      <x:c r="C56" s="107"/>
      <x:c r="D56" s="108"/>
      <x:c r="E56" s="110"/>
      <x:c r="F56" s="110"/>
      <x:c r="G56" s="110"/>
      <x:c r="H56" s="111" t="str">
        <x:f>IF(E56="","",E56*IF(G56="",1,G56))</x:f>
      </x:c>
      <x:c r="I56" s="110"/>
      <x:c r="J56" s="113"/>
      <x:c r="K56" s="113"/>
      <x:c r="L56" s="113"/>
      <x:c r="M56" s="112"/>
      <x:c r="N56" s="108"/>
      <x:c r="O56" s="107"/>
      <x:c r="P56" s="113"/>
    </x:row>
    <x:row r="57">
      <x:c r="A57" s="109"/>
      <x:c r="B57" s="107"/>
      <x:c r="C57" s="107"/>
      <x:c r="D57" s="108"/>
      <x:c r="E57" s="110"/>
      <x:c r="F57" s="110"/>
      <x:c r="G57" s="110"/>
      <x:c r="H57" s="111" t="str">
        <x:f>IF(E57="","",E57*IF(G57="",1,G57))</x:f>
      </x:c>
      <x:c r="I57" s="110"/>
      <x:c r="J57" s="113"/>
      <x:c r="K57" s="113"/>
      <x:c r="L57" s="113"/>
      <x:c r="M57" s="112"/>
      <x:c r="N57" s="108"/>
      <x:c r="O57" s="107"/>
      <x:c r="P57" s="113"/>
    </x:row>
    <x:row r="58">
      <x:c r="A58" s="109"/>
      <x:c r="B58" s="107"/>
      <x:c r="C58" s="107"/>
      <x:c r="D58" s="108"/>
      <x:c r="E58" s="110"/>
      <x:c r="F58" s="110"/>
      <x:c r="G58" s="110"/>
      <x:c r="H58" s="111" t="str">
        <x:f>IF(E58="","",E58*IF(G58="",1,G58))</x:f>
      </x:c>
      <x:c r="I58" s="110"/>
      <x:c r="J58" s="113"/>
      <x:c r="K58" s="113"/>
      <x:c r="L58" s="113"/>
      <x:c r="M58" s="112"/>
      <x:c r="N58" s="108"/>
      <x:c r="O58" s="107"/>
      <x:c r="P58" s="113"/>
    </x:row>
    <x:row r="59">
      <x:c r="A59" s="109"/>
      <x:c r="B59" s="107"/>
      <x:c r="C59" s="107"/>
      <x:c r="D59" s="108"/>
      <x:c r="E59" s="110"/>
      <x:c r="F59" s="110"/>
      <x:c r="G59" s="110"/>
      <x:c r="H59" s="111" t="str">
        <x:f>IF(E59="","",E59*IF(G59="",1,G59))</x:f>
      </x:c>
      <x:c r="I59" s="110"/>
      <x:c r="J59" s="113"/>
      <x:c r="K59" s="113"/>
      <x:c r="L59" s="113"/>
      <x:c r="M59" s="112"/>
      <x:c r="N59" s="108"/>
      <x:c r="O59" s="107"/>
      <x:c r="P59" s="113"/>
    </x:row>
    <x:row r="60">
      <x:c r="A60" s="109"/>
      <x:c r="B60" s="107"/>
      <x:c r="C60" s="107"/>
      <x:c r="D60" s="108"/>
      <x:c r="E60" s="110"/>
      <x:c r="F60" s="110"/>
      <x:c r="G60" s="110"/>
      <x:c r="H60" s="111" t="str">
        <x:f>IF(E60="","",E60*IF(G60="",1,G60))</x:f>
      </x:c>
      <x:c r="I60" s="110"/>
      <x:c r="J60" s="113"/>
      <x:c r="K60" s="113"/>
      <x:c r="L60" s="113"/>
      <x:c r="M60" s="112"/>
      <x:c r="N60" s="108"/>
      <x:c r="O60" s="107"/>
      <x:c r="P60" s="113"/>
    </x:row>
    <x:row r="61">
      <x:c r="A61" s="109"/>
      <x:c r="B61" s="107"/>
      <x:c r="C61" s="107"/>
      <x:c r="D61" s="108"/>
      <x:c r="E61" s="110"/>
      <x:c r="F61" s="110"/>
      <x:c r="G61" s="110"/>
      <x:c r="H61" s="111" t="str">
        <x:f>IF(E61="","",E61*IF(G61="",1,G61))</x:f>
      </x:c>
      <x:c r="I61" s="110"/>
      <x:c r="J61" s="113"/>
      <x:c r="K61" s="113"/>
      <x:c r="L61" s="113"/>
      <x:c r="M61" s="112"/>
      <x:c r="N61" s="108"/>
      <x:c r="O61" s="107"/>
      <x:c r="P61" s="113"/>
    </x:row>
    <x:row r="62">
      <x:c r="A62" s="109"/>
      <x:c r="B62" s="107"/>
      <x:c r="C62" s="107"/>
      <x:c r="D62" s="108"/>
      <x:c r="E62" s="110"/>
      <x:c r="F62" s="110"/>
      <x:c r="G62" s="110"/>
      <x:c r="H62" s="111" t="str">
        <x:f>IF(E62="","",E62*IF(G62="",1,G62))</x:f>
      </x:c>
      <x:c r="I62" s="110"/>
      <x:c r="J62" s="113"/>
      <x:c r="K62" s="113"/>
      <x:c r="L62" s="113"/>
      <x:c r="M62" s="112"/>
      <x:c r="N62" s="108"/>
      <x:c r="O62" s="107"/>
      <x:c r="P62" s="113"/>
    </x:row>
    <x:row r="63">
      <x:c r="A63" s="109"/>
      <x:c r="B63" s="107"/>
      <x:c r="C63" s="107"/>
      <x:c r="D63" s="108"/>
      <x:c r="E63" s="110"/>
      <x:c r="F63" s="110"/>
      <x:c r="G63" s="110"/>
      <x:c r="H63" s="111" t="str">
        <x:f>IF(E63="","",E63*IF(G63="",1,G63))</x:f>
      </x:c>
      <x:c r="I63" s="110"/>
      <x:c r="J63" s="113"/>
      <x:c r="K63" s="113"/>
      <x:c r="L63" s="113"/>
      <x:c r="M63" s="112"/>
      <x:c r="N63" s="108"/>
      <x:c r="O63" s="107"/>
      <x:c r="P63" s="113"/>
    </x:row>
    <x:row r="64">
      <x:c r="A64" s="109"/>
      <x:c r="B64" s="107"/>
      <x:c r="C64" s="107"/>
      <x:c r="D64" s="108"/>
      <x:c r="E64" s="110"/>
      <x:c r="F64" s="110"/>
      <x:c r="G64" s="110"/>
      <x:c r="H64" s="111" t="str">
        <x:f>IF(E64="","",E64*IF(G64="",1,G64))</x:f>
      </x:c>
      <x:c r="I64" s="110"/>
      <x:c r="J64" s="113"/>
      <x:c r="K64" s="113"/>
      <x:c r="L64" s="113"/>
      <x:c r="M64" s="112"/>
      <x:c r="N64" s="108"/>
      <x:c r="O64" s="107"/>
      <x:c r="P64" s="113"/>
    </x:row>
    <x:row r="65">
      <x:c r="A65" s="109"/>
      <x:c r="B65" s="107"/>
      <x:c r="C65" s="107"/>
      <x:c r="D65" s="108"/>
      <x:c r="E65" s="110"/>
      <x:c r="F65" s="110"/>
      <x:c r="G65" s="110"/>
      <x:c r="H65" s="111" t="str">
        <x:f>IF(E65="","",E65*IF(G65="",1,G65))</x:f>
      </x:c>
      <x:c r="I65" s="110"/>
      <x:c r="J65" s="113"/>
      <x:c r="K65" s="113"/>
      <x:c r="L65" s="113"/>
      <x:c r="M65" s="112"/>
      <x:c r="N65" s="108"/>
      <x:c r="O65" s="107"/>
      <x:c r="P65" s="113"/>
    </x:row>
    <x:row r="66">
      <x:c r="A66" s="109"/>
      <x:c r="B66" s="107"/>
      <x:c r="C66" s="107"/>
      <x:c r="D66" s="108"/>
      <x:c r="E66" s="110"/>
      <x:c r="F66" s="110"/>
      <x:c r="G66" s="110"/>
      <x:c r="H66" s="111" t="str">
        <x:f>IF(E66="","",E66*IF(G66="",1,G66))</x:f>
      </x:c>
      <x:c r="I66" s="110"/>
      <x:c r="J66" s="113"/>
      <x:c r="K66" s="113"/>
      <x:c r="L66" s="113"/>
      <x:c r="M66" s="112"/>
      <x:c r="N66" s="108"/>
      <x:c r="O66" s="107"/>
      <x:c r="P66" s="113"/>
    </x:row>
    <x:row r="67">
      <x:c r="A67" s="109"/>
      <x:c r="B67" s="107"/>
      <x:c r="C67" s="107"/>
      <x:c r="D67" s="108"/>
      <x:c r="E67" s="110"/>
      <x:c r="F67" s="110"/>
      <x:c r="G67" s="110"/>
      <x:c r="H67" s="111" t="str">
        <x:f>IF(E67="","",E67*IF(G67="",1,G67))</x:f>
      </x:c>
      <x:c r="I67" s="110"/>
      <x:c r="J67" s="113"/>
      <x:c r="K67" s="113"/>
      <x:c r="L67" s="113"/>
      <x:c r="M67" s="112"/>
      <x:c r="N67" s="108"/>
      <x:c r="O67" s="107"/>
      <x:c r="P67" s="113"/>
    </x:row>
    <x:row r="68">
      <x:c r="A68" s="109"/>
      <x:c r="B68" s="107"/>
      <x:c r="C68" s="107"/>
      <x:c r="D68" s="108"/>
      <x:c r="E68" s="110"/>
      <x:c r="F68" s="110"/>
      <x:c r="G68" s="110"/>
      <x:c r="H68" s="111" t="str">
        <x:f>IF(E68="","",E68*IF(G68="",1,G68))</x:f>
      </x:c>
      <x:c r="I68" s="110"/>
      <x:c r="J68" s="113"/>
      <x:c r="K68" s="113"/>
      <x:c r="L68" s="113"/>
      <x:c r="M68" s="112"/>
      <x:c r="N68" s="108"/>
      <x:c r="O68" s="107"/>
      <x:c r="P68" s="113"/>
    </x:row>
    <x:row r="69">
      <x:c r="A69" s="109"/>
      <x:c r="B69" s="107"/>
      <x:c r="C69" s="107"/>
      <x:c r="D69" s="108"/>
      <x:c r="E69" s="110"/>
      <x:c r="F69" s="110"/>
      <x:c r="G69" s="110"/>
      <x:c r="H69" s="111" t="str">
        <x:f>IF(E69="","",E69*IF(G69="",1,G69))</x:f>
      </x:c>
      <x:c r="I69" s="110"/>
      <x:c r="J69" s="113"/>
      <x:c r="K69" s="113"/>
      <x:c r="L69" s="113"/>
      <x:c r="M69" s="112"/>
      <x:c r="N69" s="108"/>
      <x:c r="O69" s="107"/>
      <x:c r="P69" s="113"/>
    </x:row>
    <x:row r="70">
      <x:c r="A70" s="109"/>
      <x:c r="B70" s="107"/>
      <x:c r="C70" s="107"/>
      <x:c r="D70" s="108"/>
      <x:c r="E70" s="110"/>
      <x:c r="F70" s="110"/>
      <x:c r="G70" s="110"/>
      <x:c r="H70" s="111" t="str">
        <x:f>IF(E70="","",E70*IF(G70="",1,G70))</x:f>
      </x:c>
      <x:c r="I70" s="110"/>
      <x:c r="J70" s="113"/>
      <x:c r="K70" s="113"/>
      <x:c r="L70" s="113"/>
      <x:c r="M70" s="112"/>
      <x:c r="N70" s="108"/>
      <x:c r="O70" s="107"/>
      <x:c r="P70" s="113"/>
    </x:row>
    <x:row r="71">
      <x:c r="A71" s="109"/>
      <x:c r="B71" s="107"/>
      <x:c r="C71" s="107"/>
      <x:c r="D71" s="108"/>
      <x:c r="E71" s="110"/>
      <x:c r="F71" s="110"/>
      <x:c r="G71" s="110"/>
      <x:c r="H71" s="111" t="str">
        <x:f>IF(E71="","",E71*IF(G71="",1,G71))</x:f>
      </x:c>
      <x:c r="I71" s="110"/>
      <x:c r="J71" s="113"/>
      <x:c r="K71" s="113"/>
      <x:c r="L71" s="113"/>
      <x:c r="M71" s="112"/>
      <x:c r="N71" s="108"/>
      <x:c r="O71" s="107"/>
      <x:c r="P71" s="113"/>
    </x:row>
    <x:row r="72">
      <x:c r="A72" s="109"/>
      <x:c r="B72" s="107"/>
      <x:c r="C72" s="107"/>
      <x:c r="D72" s="108"/>
      <x:c r="E72" s="110"/>
      <x:c r="F72" s="110"/>
      <x:c r="G72" s="110"/>
      <x:c r="H72" s="111" t="str">
        <x:f>IF(E72="","",E72*IF(G72="",1,G72))</x:f>
      </x:c>
      <x:c r="I72" s="110"/>
      <x:c r="J72" s="113"/>
      <x:c r="K72" s="113"/>
      <x:c r="L72" s="113"/>
      <x:c r="M72" s="112"/>
      <x:c r="N72" s="108"/>
      <x:c r="O72" s="107"/>
      <x:c r="P72" s="113"/>
    </x:row>
    <x:row r="73">
      <x:c r="A73" s="109"/>
      <x:c r="B73" s="107"/>
      <x:c r="C73" s="107"/>
      <x:c r="D73" s="108"/>
      <x:c r="E73" s="110"/>
      <x:c r="F73" s="110"/>
      <x:c r="G73" s="110"/>
      <x:c r="H73" s="111" t="str">
        <x:f>IF(E73="","",E73*IF(G73="",1,G73))</x:f>
      </x:c>
      <x:c r="I73" s="110"/>
      <x:c r="J73" s="113"/>
      <x:c r="K73" s="113"/>
      <x:c r="L73" s="113"/>
      <x:c r="M73" s="112"/>
      <x:c r="N73" s="108"/>
      <x:c r="O73" s="107"/>
      <x:c r="P73" s="113"/>
    </x:row>
    <x:row r="74">
      <x:c r="A74" s="109"/>
      <x:c r="B74" s="107"/>
      <x:c r="C74" s="107"/>
      <x:c r="D74" s="108"/>
      <x:c r="E74" s="110"/>
      <x:c r="F74" s="110"/>
      <x:c r="G74" s="110"/>
      <x:c r="H74" s="111" t="str">
        <x:f>IF(E74="","",E74*IF(G74="",1,G74))</x:f>
      </x:c>
      <x:c r="I74" s="110"/>
      <x:c r="J74" s="113"/>
      <x:c r="K74" s="113"/>
      <x:c r="L74" s="113"/>
      <x:c r="M74" s="112"/>
      <x:c r="N74" s="108"/>
      <x:c r="O74" s="107"/>
      <x:c r="P74" s="113"/>
    </x:row>
    <x:row r="75">
      <x:c r="A75" s="109"/>
      <x:c r="B75" s="107"/>
      <x:c r="C75" s="107"/>
      <x:c r="D75" s="108"/>
      <x:c r="E75" s="110"/>
      <x:c r="F75" s="110"/>
      <x:c r="G75" s="110"/>
      <x:c r="H75" s="111" t="str">
        <x:f>IF(E75="","",E75*IF(G75="",1,G75))</x:f>
      </x:c>
      <x:c r="I75" s="110"/>
      <x:c r="J75" s="113"/>
      <x:c r="K75" s="113"/>
      <x:c r="L75" s="113"/>
      <x:c r="M75" s="112"/>
      <x:c r="N75" s="108"/>
      <x:c r="O75" s="107"/>
      <x:c r="P75" s="113"/>
    </x:row>
    <x:row r="76">
      <x:c r="A76" s="109"/>
      <x:c r="B76" s="107"/>
      <x:c r="C76" s="107"/>
      <x:c r="D76" s="108"/>
      <x:c r="E76" s="110"/>
      <x:c r="F76" s="110"/>
      <x:c r="G76" s="110"/>
      <x:c r="H76" s="111" t="str">
        <x:f>IF(E76="","",E76*IF(G76="",1,G76))</x:f>
      </x:c>
      <x:c r="I76" s="110"/>
      <x:c r="J76" s="113"/>
      <x:c r="K76" s="113"/>
      <x:c r="L76" s="113"/>
      <x:c r="M76" s="112"/>
      <x:c r="N76" s="108"/>
      <x:c r="O76" s="107"/>
      <x:c r="P76" s="113"/>
    </x:row>
    <x:row r="77">
      <x:c r="A77" s="109"/>
      <x:c r="B77" s="107"/>
      <x:c r="C77" s="107"/>
      <x:c r="D77" s="108"/>
      <x:c r="E77" s="110"/>
      <x:c r="F77" s="110"/>
      <x:c r="G77" s="110"/>
      <x:c r="H77" s="111" t="str">
        <x:f>IF(E77="","",E77*IF(G77="",1,G77))</x:f>
      </x:c>
      <x:c r="I77" s="110"/>
      <x:c r="J77" s="113"/>
      <x:c r="K77" s="113"/>
      <x:c r="L77" s="113"/>
      <x:c r="M77" s="112"/>
      <x:c r="N77" s="108"/>
      <x:c r="O77" s="107"/>
      <x:c r="P77" s="113"/>
    </x:row>
    <x:row r="78">
      <x:c r="A78" s="109"/>
      <x:c r="B78" s="107"/>
      <x:c r="C78" s="107"/>
      <x:c r="D78" s="108"/>
      <x:c r="E78" s="110"/>
      <x:c r="F78" s="110"/>
      <x:c r="G78" s="110"/>
      <x:c r="H78" s="111" t="str">
        <x:f>IF(E78="","",E78*IF(G78="",1,G78))</x:f>
      </x:c>
      <x:c r="I78" s="110"/>
      <x:c r="J78" s="113"/>
      <x:c r="K78" s="113"/>
      <x:c r="L78" s="113"/>
      <x:c r="M78" s="112"/>
      <x:c r="N78" s="108"/>
      <x:c r="O78" s="107"/>
      <x:c r="P78" s="113"/>
    </x:row>
    <x:row r="79">
      <x:c r="A79" s="109"/>
      <x:c r="B79" s="107"/>
      <x:c r="C79" s="107"/>
      <x:c r="D79" s="108"/>
      <x:c r="E79" s="110"/>
      <x:c r="F79" s="110"/>
      <x:c r="G79" s="110"/>
      <x:c r="H79" s="111" t="str">
        <x:f>IF(E79="","",E79*IF(G79="",1,G79))</x:f>
      </x:c>
      <x:c r="I79" s="110"/>
      <x:c r="J79" s="113"/>
      <x:c r="K79" s="113"/>
      <x:c r="L79" s="113"/>
      <x:c r="M79" s="112"/>
      <x:c r="N79" s="108"/>
      <x:c r="O79" s="107"/>
      <x:c r="P79" s="113"/>
    </x:row>
    <x:row r="80">
      <x:c r="A80" s="109"/>
      <x:c r="B80" s="107"/>
      <x:c r="C80" s="107"/>
      <x:c r="D80" s="108"/>
      <x:c r="E80" s="110"/>
      <x:c r="F80" s="110"/>
      <x:c r="G80" s="110"/>
      <x:c r="H80" s="111" t="str">
        <x:f>IF(E80="","",E80*IF(G80="",1,G80))</x:f>
      </x:c>
      <x:c r="I80" s="110"/>
      <x:c r="J80" s="113"/>
      <x:c r="K80" s="113"/>
      <x:c r="L80" s="113"/>
      <x:c r="M80" s="112"/>
      <x:c r="N80" s="108"/>
      <x:c r="O80" s="107"/>
      <x:c r="P80" s="113"/>
    </x:row>
    <x:row r="81">
      <x:c r="A81" s="109"/>
      <x:c r="B81" s="107"/>
      <x:c r="C81" s="107"/>
      <x:c r="D81" s="108"/>
      <x:c r="E81" s="110"/>
      <x:c r="F81" s="110"/>
      <x:c r="G81" s="110"/>
      <x:c r="H81" s="111" t="str">
        <x:f>IF(E81="","",E81*IF(G81="",1,G81))</x:f>
      </x:c>
      <x:c r="I81" s="110"/>
      <x:c r="J81" s="113"/>
      <x:c r="K81" s="113"/>
      <x:c r="L81" s="113"/>
      <x:c r="M81" s="112"/>
      <x:c r="N81" s="108"/>
      <x:c r="O81" s="107"/>
      <x:c r="P81" s="113"/>
    </x:row>
    <x:row r="82">
      <x:c r="A82" s="109"/>
      <x:c r="B82" s="107"/>
      <x:c r="C82" s="107"/>
      <x:c r="D82" s="108"/>
      <x:c r="E82" s="110"/>
      <x:c r="F82" s="110"/>
      <x:c r="G82" s="110"/>
      <x:c r="H82" s="111" t="str">
        <x:f>IF(E82="","",E82*IF(G82="",1,G82))</x:f>
      </x:c>
      <x:c r="I82" s="110"/>
      <x:c r="J82" s="113"/>
      <x:c r="K82" s="113"/>
      <x:c r="L82" s="113"/>
      <x:c r="M82" s="112"/>
      <x:c r="N82" s="108"/>
      <x:c r="O82" s="107"/>
      <x:c r="P82" s="113"/>
    </x:row>
    <x:row r="83">
      <x:c r="A83" s="109"/>
      <x:c r="B83" s="107"/>
      <x:c r="C83" s="107"/>
      <x:c r="D83" s="108"/>
      <x:c r="E83" s="110"/>
      <x:c r="F83" s="110"/>
      <x:c r="G83" s="110"/>
      <x:c r="H83" s="111" t="str">
        <x:f>IF(E83="","",E83*IF(G83="",1,G83))</x:f>
      </x:c>
      <x:c r="I83" s="110"/>
      <x:c r="J83" s="113"/>
      <x:c r="K83" s="113"/>
      <x:c r="L83" s="113"/>
      <x:c r="M83" s="112"/>
      <x:c r="N83" s="108"/>
      <x:c r="O83" s="107"/>
      <x:c r="P83" s="113"/>
    </x:row>
    <x:row r="84">
      <x:c r="A84" s="109"/>
      <x:c r="B84" s="107"/>
      <x:c r="C84" s="107"/>
      <x:c r="D84" s="108"/>
      <x:c r="E84" s="110"/>
      <x:c r="F84" s="110"/>
      <x:c r="G84" s="110"/>
      <x:c r="H84" s="111" t="str">
        <x:f>IF(E84="","",E84*IF(G84="",1,G84))</x:f>
      </x:c>
      <x:c r="I84" s="110"/>
      <x:c r="J84" s="113"/>
      <x:c r="K84" s="113"/>
      <x:c r="L84" s="113"/>
      <x:c r="M84" s="112"/>
      <x:c r="N84" s="108"/>
      <x:c r="O84" s="107"/>
      <x:c r="P84" s="113"/>
    </x:row>
    <x:row r="85">
      <x:c r="A85" s="109"/>
      <x:c r="B85" s="107"/>
      <x:c r="C85" s="107"/>
      <x:c r="D85" s="108"/>
      <x:c r="E85" s="110"/>
      <x:c r="F85" s="110"/>
      <x:c r="G85" s="110"/>
      <x:c r="H85" s="111" t="str">
        <x:f>IF(E85="","",E85*IF(G85="",1,G85))</x:f>
      </x:c>
      <x:c r="I85" s="110"/>
      <x:c r="J85" s="113"/>
      <x:c r="K85" s="113"/>
      <x:c r="L85" s="113"/>
      <x:c r="M85" s="112"/>
      <x:c r="N85" s="108"/>
      <x:c r="O85" s="107"/>
      <x:c r="P85" s="113"/>
    </x:row>
    <x:row r="86">
      <x:c r="A86" s="109"/>
      <x:c r="B86" s="107"/>
      <x:c r="C86" s="107"/>
      <x:c r="D86" s="108"/>
      <x:c r="E86" s="110"/>
      <x:c r="F86" s="110"/>
      <x:c r="G86" s="110"/>
      <x:c r="H86" s="111" t="str">
        <x:f>IF(E86="","",E86*IF(G86="",1,G86))</x:f>
      </x:c>
      <x:c r="I86" s="110"/>
      <x:c r="J86" s="113"/>
      <x:c r="K86" s="113"/>
      <x:c r="L86" s="113"/>
      <x:c r="M86" s="112"/>
      <x:c r="N86" s="108"/>
      <x:c r="O86" s="107"/>
      <x:c r="P86" s="113"/>
    </x:row>
    <x:row r="87">
      <x:c r="A87" s="109"/>
      <x:c r="B87" s="107"/>
      <x:c r="C87" s="107"/>
      <x:c r="D87" s="108"/>
      <x:c r="E87" s="110"/>
      <x:c r="F87" s="110"/>
      <x:c r="G87" s="110"/>
      <x:c r="H87" s="111" t="str">
        <x:f>IF(E87="","",E87*IF(G87="",1,G87))</x:f>
      </x:c>
      <x:c r="I87" s="110"/>
      <x:c r="J87" s="113"/>
      <x:c r="K87" s="113"/>
      <x:c r="L87" s="113"/>
      <x:c r="M87" s="112"/>
      <x:c r="N87" s="108"/>
      <x:c r="O87" s="107"/>
      <x:c r="P87" s="113"/>
    </x:row>
    <x:row r="88">
      <x:c r="A88" s="109"/>
      <x:c r="B88" s="107"/>
      <x:c r="C88" s="107"/>
      <x:c r="D88" s="108"/>
      <x:c r="E88" s="110"/>
      <x:c r="F88" s="110"/>
      <x:c r="G88" s="110"/>
      <x:c r="H88" s="111" t="str">
        <x:f>IF(E88="","",E88*IF(G88="",1,G88))</x:f>
      </x:c>
      <x:c r="I88" s="110"/>
      <x:c r="J88" s="113"/>
      <x:c r="K88" s="113"/>
      <x:c r="L88" s="113"/>
      <x:c r="M88" s="112"/>
      <x:c r="N88" s="108"/>
      <x:c r="O88" s="107"/>
      <x:c r="P88" s="113"/>
    </x:row>
    <x:row r="89">
      <x:c r="A89" s="109"/>
      <x:c r="B89" s="107"/>
      <x:c r="C89" s="107"/>
      <x:c r="D89" s="108"/>
      <x:c r="E89" s="110"/>
      <x:c r="F89" s="110"/>
      <x:c r="G89" s="110"/>
      <x:c r="H89" s="111" t="str">
        <x:f>IF(E89="","",E89*IF(G89="",1,G89))</x:f>
      </x:c>
      <x:c r="I89" s="110"/>
      <x:c r="J89" s="113"/>
      <x:c r="K89" s="113"/>
      <x:c r="L89" s="113"/>
      <x:c r="M89" s="112"/>
      <x:c r="N89" s="108"/>
      <x:c r="O89" s="107"/>
      <x:c r="P89" s="113"/>
    </x:row>
    <x:row r="90">
      <x:c r="A90" s="109"/>
      <x:c r="B90" s="107"/>
      <x:c r="C90" s="107"/>
      <x:c r="D90" s="108"/>
      <x:c r="E90" s="110"/>
      <x:c r="F90" s="110"/>
      <x:c r="G90" s="110"/>
      <x:c r="H90" s="111" t="str">
        <x:f>IF(E90="","",E90*IF(G90="",1,G90))</x:f>
      </x:c>
      <x:c r="I90" s="110"/>
      <x:c r="J90" s="113"/>
      <x:c r="K90" s="113"/>
      <x:c r="L90" s="113"/>
      <x:c r="M90" s="112"/>
      <x:c r="N90" s="108"/>
      <x:c r="O90" s="107"/>
      <x:c r="P90" s="113"/>
    </x:row>
    <x:row r="91">
      <x:c r="A91" s="109"/>
      <x:c r="B91" s="107"/>
      <x:c r="C91" s="107"/>
      <x:c r="D91" s="108"/>
      <x:c r="E91" s="110"/>
      <x:c r="F91" s="110"/>
      <x:c r="G91" s="110"/>
      <x:c r="H91" s="111" t="str">
        <x:f>IF(E91="","",E91*IF(G91="",1,G91))</x:f>
      </x:c>
      <x:c r="I91" s="110"/>
      <x:c r="J91" s="113"/>
      <x:c r="K91" s="113"/>
      <x:c r="L91" s="113"/>
      <x:c r="M91" s="112"/>
      <x:c r="N91" s="108"/>
      <x:c r="O91" s="107"/>
      <x:c r="P91" s="113"/>
    </x:row>
    <x:row r="92">
      <x:c r="A92" s="109"/>
      <x:c r="B92" s="107"/>
      <x:c r="C92" s="107"/>
      <x:c r="D92" s="108"/>
      <x:c r="E92" s="110"/>
      <x:c r="F92" s="110"/>
      <x:c r="G92" s="110"/>
      <x:c r="H92" s="111" t="str">
        <x:f>IF(E92="","",E92*IF(G92="",1,G92))</x:f>
      </x:c>
      <x:c r="I92" s="110"/>
      <x:c r="J92" s="113"/>
      <x:c r="K92" s="113"/>
      <x:c r="L92" s="113"/>
      <x:c r="M92" s="112"/>
      <x:c r="N92" s="108"/>
      <x:c r="O92" s="107"/>
      <x:c r="P92" s="113"/>
    </x:row>
    <x:row r="93">
      <x:c r="A93" s="109"/>
      <x:c r="B93" s="107"/>
      <x:c r="C93" s="107"/>
      <x:c r="D93" s="108"/>
      <x:c r="E93" s="110"/>
      <x:c r="F93" s="110"/>
      <x:c r="G93" s="110"/>
      <x:c r="H93" s="111" t="str">
        <x:f>IF(E93="","",E93*IF(G93="",1,G93))</x:f>
      </x:c>
      <x:c r="I93" s="110"/>
      <x:c r="J93" s="113"/>
      <x:c r="K93" s="113"/>
      <x:c r="L93" s="113"/>
      <x:c r="M93" s="112"/>
      <x:c r="N93" s="108"/>
      <x:c r="O93" s="107"/>
      <x:c r="P93" s="113"/>
    </x:row>
    <x:row r="94">
      <x:c r="A94" s="109"/>
      <x:c r="B94" s="107"/>
      <x:c r="C94" s="107"/>
      <x:c r="D94" s="108"/>
      <x:c r="E94" s="110"/>
      <x:c r="F94" s="110"/>
      <x:c r="G94" s="110"/>
      <x:c r="H94" s="111" t="str">
        <x:f>IF(E94="","",E94*IF(G94="",1,G94))</x:f>
      </x:c>
      <x:c r="I94" s="110"/>
      <x:c r="J94" s="113"/>
      <x:c r="K94" s="113"/>
      <x:c r="L94" s="113"/>
      <x:c r="M94" s="112"/>
      <x:c r="N94" s="108"/>
      <x:c r="O94" s="107"/>
      <x:c r="P94" s="113"/>
    </x:row>
    <x:row r="95">
      <x:c r="A95" s="109"/>
      <x:c r="B95" s="107"/>
      <x:c r="C95" s="107"/>
      <x:c r="D95" s="108"/>
      <x:c r="E95" s="110"/>
      <x:c r="F95" s="110"/>
      <x:c r="G95" s="110"/>
      <x:c r="H95" s="111" t="str">
        <x:f>IF(E95="","",E95*IF(G95="",1,G95))</x:f>
      </x:c>
      <x:c r="I95" s="110"/>
      <x:c r="J95" s="113"/>
      <x:c r="K95" s="113"/>
      <x:c r="L95" s="113"/>
      <x:c r="M95" s="112"/>
      <x:c r="N95" s="108"/>
      <x:c r="O95" s="107"/>
      <x:c r="P95" s="113"/>
    </x:row>
    <x:row r="96">
      <x:c r="A96" s="109"/>
      <x:c r="B96" s="107"/>
      <x:c r="C96" s="107"/>
      <x:c r="D96" s="108"/>
      <x:c r="E96" s="110"/>
      <x:c r="F96" s="110"/>
      <x:c r="G96" s="110"/>
      <x:c r="H96" s="111" t="str">
        <x:f>IF(E96="","",E96*IF(G96="",1,G96))</x:f>
      </x:c>
      <x:c r="I96" s="110"/>
      <x:c r="J96" s="113"/>
      <x:c r="K96" s="113"/>
      <x:c r="L96" s="113"/>
      <x:c r="M96" s="112"/>
      <x:c r="N96" s="108"/>
      <x:c r="O96" s="107"/>
      <x:c r="P96" s="113"/>
    </x:row>
    <x:row r="97">
      <x:c r="A97" s="109"/>
      <x:c r="B97" s="107"/>
      <x:c r="C97" s="107"/>
      <x:c r="D97" s="108"/>
      <x:c r="E97" s="110"/>
      <x:c r="F97" s="110"/>
      <x:c r="G97" s="110"/>
      <x:c r="H97" s="111" t="str">
        <x:f>IF(E97="","",E97*IF(G97="",1,G97))</x:f>
      </x:c>
      <x:c r="I97" s="110"/>
      <x:c r="J97" s="113"/>
      <x:c r="K97" s="113"/>
      <x:c r="L97" s="113"/>
      <x:c r="M97" s="112"/>
      <x:c r="N97" s="108"/>
      <x:c r="O97" s="107"/>
      <x:c r="P97" s="113"/>
    </x:row>
    <x:row r="98">
      <x:c r="A98" s="109"/>
      <x:c r="B98" s="107"/>
      <x:c r="C98" s="107"/>
      <x:c r="D98" s="108"/>
      <x:c r="E98" s="110"/>
      <x:c r="F98" s="110"/>
      <x:c r="G98" s="110"/>
      <x:c r="H98" s="111" t="str">
        <x:f>IF(E98="","",E98*IF(G98="",1,G98))</x:f>
      </x:c>
      <x:c r="I98" s="110"/>
      <x:c r="J98" s="113"/>
      <x:c r="K98" s="113"/>
      <x:c r="L98" s="113"/>
      <x:c r="M98" s="112"/>
      <x:c r="N98" s="108"/>
      <x:c r="O98" s="107"/>
      <x:c r="P98" s="113"/>
    </x:row>
    <x:row r="99">
      <x:c r="A99" s="109"/>
      <x:c r="B99" s="107"/>
      <x:c r="C99" s="107"/>
      <x:c r="D99" s="108"/>
      <x:c r="E99" s="110"/>
      <x:c r="F99" s="110"/>
      <x:c r="G99" s="110"/>
      <x:c r="H99" s="111" t="str">
        <x:f>IF(E99="","",E99*IF(G99="",1,G99))</x:f>
      </x:c>
      <x:c r="I99" s="110"/>
      <x:c r="J99" s="113"/>
      <x:c r="K99" s="113"/>
      <x:c r="L99" s="113"/>
      <x:c r="M99" s="112"/>
      <x:c r="N99" s="108"/>
      <x:c r="O99" s="107"/>
      <x:c r="P99" s="113"/>
    </x:row>
    <x:row r="100">
      <x:c r="A100" s="109"/>
      <x:c r="B100" s="107"/>
      <x:c r="C100" s="107"/>
      <x:c r="D100" s="108"/>
      <x:c r="E100" s="110"/>
      <x:c r="F100" s="110"/>
      <x:c r="G100" s="110"/>
      <x:c r="H100" s="111" t="str">
        <x:f>IF(E100="","",E100*IF(G100="",1,G100))</x:f>
      </x:c>
      <x:c r="I100" s="110"/>
      <x:c r="J100" s="113"/>
      <x:c r="K100" s="113"/>
      <x:c r="L100" s="113"/>
      <x:c r="M100" s="112"/>
      <x:c r="N100" s="108"/>
      <x:c r="O100" s="107"/>
      <x:c r="P100" s="113"/>
    </x:row>
    <x:row r="101">
      <x:c r="A101" s="109"/>
      <x:c r="B101" s="107"/>
      <x:c r="C101" s="107"/>
      <x:c r="D101" s="108"/>
      <x:c r="E101" s="110"/>
      <x:c r="F101" s="110"/>
      <x:c r="G101" s="110"/>
      <x:c r="H101" s="111" t="str">
        <x:f>IF(E101="","",E101*IF(G101="",1,G101))</x:f>
      </x:c>
      <x:c r="I101" s="110"/>
      <x:c r="J101" s="113"/>
      <x:c r="K101" s="113"/>
      <x:c r="L101" s="113"/>
      <x:c r="M101" s="112"/>
      <x:c r="N101" s="108"/>
      <x:c r="O101" s="107"/>
      <x:c r="P101" s="113"/>
    </x:row>
    <x:row r="102">
      <x:c r="A102" s="109"/>
      <x:c r="B102" s="107"/>
      <x:c r="C102" s="107"/>
      <x:c r="D102" s="108"/>
      <x:c r="E102" s="110"/>
      <x:c r="F102" s="110"/>
      <x:c r="G102" s="110"/>
      <x:c r="H102" s="111" t="str">
        <x:f>IF(E102="","",E102*IF(G102="",1,G102))</x:f>
      </x:c>
      <x:c r="I102" s="110"/>
      <x:c r="J102" s="113"/>
      <x:c r="K102" s="113"/>
      <x:c r="L102" s="113"/>
      <x:c r="M102" s="112"/>
      <x:c r="N102" s="108"/>
      <x:c r="O102" s="107"/>
      <x:c r="P102" s="113"/>
    </x:row>
    <x:row r="103">
      <x:c r="A103" s="109"/>
      <x:c r="B103" s="107"/>
      <x:c r="C103" s="107"/>
      <x:c r="D103" s="108"/>
      <x:c r="E103" s="110"/>
      <x:c r="F103" s="110"/>
      <x:c r="G103" s="110"/>
      <x:c r="H103" s="111" t="str">
        <x:f>IF(E103="","",E103*IF(G103="",1,G103))</x:f>
      </x:c>
      <x:c r="I103" s="110"/>
      <x:c r="J103" s="113"/>
      <x:c r="K103" s="113"/>
      <x:c r="L103" s="113"/>
      <x:c r="M103" s="112"/>
      <x:c r="N103" s="108"/>
      <x:c r="O103" s="107"/>
      <x:c r="P103" s="113"/>
    </x:row>
    <x:row r="104">
      <x:c r="A104" s="109"/>
      <x:c r="B104" s="107"/>
      <x:c r="C104" s="107"/>
      <x:c r="D104" s="108"/>
      <x:c r="E104" s="110"/>
      <x:c r="F104" s="110"/>
      <x:c r="G104" s="110"/>
      <x:c r="H104" s="111" t="str">
        <x:f>IF(E104="","",E104*IF(G104="",1,G104))</x:f>
      </x:c>
      <x:c r="I104" s="110"/>
      <x:c r="J104" s="113"/>
      <x:c r="K104" s="113"/>
      <x:c r="L104" s="113"/>
      <x:c r="M104" s="112"/>
      <x:c r="N104" s="108"/>
      <x:c r="O104" s="107"/>
      <x:c r="P104" s="113"/>
    </x:row>
    <x:row r="105">
      <x:c r="A105" s="109"/>
      <x:c r="B105" s="107"/>
      <x:c r="C105" s="107"/>
      <x:c r="D105" s="108"/>
      <x:c r="E105" s="110"/>
      <x:c r="F105" s="110"/>
      <x:c r="G105" s="110"/>
      <x:c r="H105" s="111" t="str">
        <x:f>IF(E105="","",E105*IF(G105="",1,G105))</x:f>
      </x:c>
      <x:c r="I105" s="110"/>
      <x:c r="J105" s="113"/>
      <x:c r="K105" s="113"/>
      <x:c r="L105" s="113"/>
      <x:c r="M105" s="112"/>
      <x:c r="N105" s="108"/>
      <x:c r="O105" s="107"/>
      <x:c r="P105" s="113"/>
    </x:row>
    <x:row r="106">
      <x:c r="A106" s="109"/>
      <x:c r="B106" s="107"/>
      <x:c r="C106" s="107"/>
      <x:c r="D106" s="108"/>
      <x:c r="E106" s="110"/>
      <x:c r="F106" s="110"/>
      <x:c r="G106" s="110"/>
      <x:c r="H106" s="111" t="str">
        <x:f>IF(E106="","",E106*IF(G106="",1,G106))</x:f>
      </x:c>
      <x:c r="I106" s="110"/>
      <x:c r="J106" s="113"/>
      <x:c r="K106" s="113"/>
      <x:c r="L106" s="113"/>
      <x:c r="M106" s="112"/>
      <x:c r="N106" s="108"/>
      <x:c r="O106" s="107"/>
      <x:c r="P106" s="113"/>
    </x:row>
    <x:row r="107">
      <x:c r="A107" s="109"/>
      <x:c r="B107" s="107"/>
      <x:c r="C107" s="107"/>
      <x:c r="D107" s="108"/>
      <x:c r="E107" s="110"/>
      <x:c r="F107" s="110"/>
      <x:c r="G107" s="110"/>
      <x:c r="H107" s="111" t="str">
        <x:f>IF(E107="","",E107*IF(G107="",1,G107))</x:f>
      </x:c>
      <x:c r="I107" s="110"/>
      <x:c r="J107" s="113"/>
      <x:c r="K107" s="113"/>
      <x:c r="L107" s="113"/>
      <x:c r="M107" s="112"/>
      <x:c r="N107" s="108"/>
      <x:c r="O107" s="107"/>
      <x:c r="P107" s="113"/>
    </x:row>
    <x:row r="108">
      <x:c r="A108" s="109"/>
      <x:c r="B108" s="107"/>
      <x:c r="C108" s="107"/>
      <x:c r="D108" s="108"/>
      <x:c r="E108" s="110"/>
      <x:c r="F108" s="110"/>
      <x:c r="G108" s="110"/>
      <x:c r="H108" s="111" t="str">
        <x:f>IF(E108="","",E108*IF(G108="",1,G108))</x:f>
      </x:c>
      <x:c r="I108" s="110"/>
      <x:c r="J108" s="113"/>
      <x:c r="K108" s="113"/>
      <x:c r="L108" s="113"/>
      <x:c r="M108" s="112"/>
      <x:c r="N108" s="108"/>
      <x:c r="O108" s="107"/>
      <x:c r="P108" s="113"/>
    </x:row>
    <x:row r="109">
      <x:c r="A109" s="109"/>
      <x:c r="B109" s="107"/>
      <x:c r="C109" s="107"/>
      <x:c r="D109" s="108"/>
      <x:c r="E109" s="110"/>
      <x:c r="F109" s="110"/>
      <x:c r="G109" s="110"/>
      <x:c r="H109" s="111" t="str">
        <x:f>IF(E109="","",E109*IF(G109="",1,G109))</x:f>
      </x:c>
      <x:c r="I109" s="110"/>
      <x:c r="J109" s="113"/>
      <x:c r="K109" s="113"/>
      <x:c r="L109" s="113"/>
      <x:c r="M109" s="112"/>
      <x:c r="N109" s="108"/>
      <x:c r="O109" s="107"/>
      <x:c r="P109" s="113"/>
    </x:row>
    <x:row r="110">
      <x:c r="A110" s="109"/>
      <x:c r="B110" s="107"/>
      <x:c r="C110" s="107"/>
      <x:c r="D110" s="108"/>
      <x:c r="E110" s="110"/>
      <x:c r="F110" s="110"/>
      <x:c r="G110" s="110"/>
      <x:c r="H110" s="111" t="str">
        <x:f>IF(E110="","",E110*IF(G110="",1,G110))</x:f>
      </x:c>
      <x:c r="I110" s="110"/>
      <x:c r="J110" s="113"/>
      <x:c r="K110" s="113"/>
      <x:c r="L110" s="113"/>
      <x:c r="M110" s="112"/>
      <x:c r="N110" s="108"/>
      <x:c r="O110" s="107"/>
      <x:c r="P110" s="113"/>
    </x:row>
    <x:row r="111">
      <x:c r="A111" s="109"/>
      <x:c r="B111" s="107"/>
      <x:c r="C111" s="107"/>
      <x:c r="D111" s="108"/>
      <x:c r="E111" s="110"/>
      <x:c r="F111" s="110"/>
      <x:c r="G111" s="110"/>
      <x:c r="H111" s="111" t="str">
        <x:f>IF(E111="","",E111*IF(G111="",1,G111))</x:f>
      </x:c>
      <x:c r="I111" s="110"/>
      <x:c r="J111" s="113"/>
      <x:c r="K111" s="113"/>
      <x:c r="L111" s="113"/>
      <x:c r="M111" s="112"/>
      <x:c r="N111" s="108"/>
      <x:c r="O111" s="107"/>
      <x:c r="P111" s="113"/>
    </x:row>
    <x:row r="112">
      <x:c r="A112" s="109"/>
      <x:c r="B112" s="107"/>
      <x:c r="C112" s="107"/>
      <x:c r="D112" s="108"/>
      <x:c r="E112" s="110"/>
      <x:c r="F112" s="110"/>
      <x:c r="G112" s="110"/>
      <x:c r="H112" s="111" t="str">
        <x:f>IF(E112="","",E112*IF(G112="",1,G112))</x:f>
      </x:c>
      <x:c r="I112" s="110"/>
      <x:c r="J112" s="113"/>
      <x:c r="K112" s="113"/>
      <x:c r="L112" s="113"/>
      <x:c r="M112" s="112"/>
      <x:c r="N112" s="108"/>
      <x:c r="O112" s="107"/>
      <x:c r="P112" s="113"/>
    </x:row>
    <x:row r="113">
      <x:c r="A113" s="109"/>
      <x:c r="B113" s="107"/>
      <x:c r="C113" s="107"/>
      <x:c r="D113" s="108"/>
      <x:c r="E113" s="110"/>
      <x:c r="F113" s="110"/>
      <x:c r="G113" s="110"/>
      <x:c r="H113" s="111" t="str">
        <x:f>IF(E113="","",E113*IF(G113="",1,G113))</x:f>
      </x:c>
      <x:c r="I113" s="110"/>
      <x:c r="J113" s="113"/>
      <x:c r="K113" s="113"/>
      <x:c r="L113" s="113"/>
      <x:c r="M113" s="112"/>
      <x:c r="N113" s="108"/>
      <x:c r="O113" s="107"/>
      <x:c r="P113" s="113"/>
    </x:row>
    <x:row r="114">
      <x:c r="A114" s="109"/>
      <x:c r="B114" s="107"/>
      <x:c r="C114" s="107"/>
      <x:c r="D114" s="108"/>
      <x:c r="E114" s="110"/>
      <x:c r="F114" s="110"/>
      <x:c r="G114" s="110"/>
      <x:c r="H114" s="111" t="str">
        <x:f>IF(E114="","",E114*IF(G114="",1,G114))</x:f>
      </x:c>
      <x:c r="I114" s="110"/>
      <x:c r="J114" s="113"/>
      <x:c r="K114" s="113"/>
      <x:c r="L114" s="113"/>
      <x:c r="M114" s="112"/>
      <x:c r="N114" s="108"/>
      <x:c r="O114" s="107"/>
      <x:c r="P114" s="113"/>
    </x:row>
    <x:row r="115">
      <x:c r="A115" s="109"/>
      <x:c r="B115" s="107"/>
      <x:c r="C115" s="107"/>
      <x:c r="D115" s="108"/>
      <x:c r="E115" s="110"/>
      <x:c r="F115" s="110"/>
      <x:c r="G115" s="110"/>
      <x:c r="H115" s="111" t="str">
        <x:f>IF(E115="","",E115*IF(G115="",1,G115))</x:f>
      </x:c>
      <x:c r="I115" s="110"/>
      <x:c r="J115" s="113"/>
      <x:c r="K115" s="113"/>
      <x:c r="L115" s="113"/>
      <x:c r="M115" s="112"/>
      <x:c r="N115" s="108"/>
      <x:c r="O115" s="107"/>
      <x:c r="P115" s="113"/>
    </x:row>
    <x:row r="116">
      <x:c r="A116" s="109"/>
      <x:c r="B116" s="107"/>
      <x:c r="C116" s="107"/>
      <x:c r="D116" s="108"/>
      <x:c r="E116" s="110"/>
      <x:c r="F116" s="110"/>
      <x:c r="G116" s="110"/>
      <x:c r="H116" s="111" t="str">
        <x:f>IF(E116="","",E116*IF(G116="",1,G116))</x:f>
      </x:c>
      <x:c r="I116" s="110"/>
      <x:c r="J116" s="113"/>
      <x:c r="K116" s="113"/>
      <x:c r="L116" s="113"/>
      <x:c r="M116" s="112"/>
      <x:c r="N116" s="108"/>
      <x:c r="O116" s="107"/>
      <x:c r="P116" s="113"/>
    </x:row>
    <x:row r="117">
      <x:c r="A117" s="109"/>
      <x:c r="B117" s="107"/>
      <x:c r="C117" s="107"/>
      <x:c r="D117" s="108"/>
      <x:c r="E117" s="110"/>
      <x:c r="F117" s="110"/>
      <x:c r="G117" s="110"/>
      <x:c r="H117" s="111" t="str">
        <x:f>IF(E117="","",E117*IF(G117="",1,G117))</x:f>
      </x:c>
      <x:c r="I117" s="110"/>
      <x:c r="J117" s="113"/>
      <x:c r="K117" s="113"/>
      <x:c r="L117" s="113"/>
      <x:c r="M117" s="112"/>
      <x:c r="N117" s="108"/>
      <x:c r="O117" s="107"/>
      <x:c r="P117" s="113"/>
    </x:row>
    <x:row r="118">
      <x:c r="A118" s="109"/>
      <x:c r="B118" s="107"/>
      <x:c r="C118" s="107"/>
      <x:c r="D118" s="108"/>
      <x:c r="E118" s="110"/>
      <x:c r="F118" s="110"/>
      <x:c r="G118" s="110"/>
      <x:c r="H118" s="111" t="str">
        <x:f>IF(E118="","",E118*IF(G118="",1,G118))</x:f>
      </x:c>
      <x:c r="I118" s="110"/>
      <x:c r="J118" s="113"/>
      <x:c r="K118" s="113"/>
      <x:c r="L118" s="113"/>
      <x:c r="M118" s="112"/>
      <x:c r="N118" s="108"/>
      <x:c r="O118" s="107"/>
      <x:c r="P118" s="113"/>
    </x:row>
    <x:row r="119">
      <x:c r="A119" s="109"/>
      <x:c r="B119" s="107"/>
      <x:c r="C119" s="107"/>
      <x:c r="D119" s="108"/>
      <x:c r="E119" s="110"/>
      <x:c r="F119" s="110"/>
      <x:c r="G119" s="110"/>
      <x:c r="H119" s="111" t="str">
        <x:f>IF(E119="","",E119*IF(G119="",1,G119))</x:f>
      </x:c>
      <x:c r="I119" s="110"/>
      <x:c r="J119" s="113"/>
      <x:c r="K119" s="113"/>
      <x:c r="L119" s="113"/>
      <x:c r="M119" s="112"/>
      <x:c r="N119" s="108"/>
      <x:c r="O119" s="107"/>
      <x:c r="P119" s="113"/>
    </x:row>
    <x:row r="120">
      <x:c r="A120" s="109"/>
      <x:c r="B120" s="107"/>
      <x:c r="C120" s="107"/>
      <x:c r="D120" s="108"/>
      <x:c r="E120" s="110"/>
      <x:c r="F120" s="110"/>
      <x:c r="G120" s="110"/>
      <x:c r="H120" s="111" t="str">
        <x:f>IF(E120="","",E120*IF(G120="",1,G120))</x:f>
      </x:c>
      <x:c r="I120" s="110"/>
      <x:c r="J120" s="113"/>
      <x:c r="K120" s="113"/>
      <x:c r="L120" s="113"/>
      <x:c r="M120" s="112"/>
      <x:c r="N120" s="108"/>
      <x:c r="O120" s="107"/>
      <x:c r="P120" s="113"/>
    </x:row>
    <x:row r="121">
      <x:c r="A121" s="109"/>
      <x:c r="B121" s="107"/>
      <x:c r="C121" s="107"/>
      <x:c r="D121" s="108"/>
      <x:c r="E121" s="110"/>
      <x:c r="F121" s="110"/>
      <x:c r="G121" s="110"/>
      <x:c r="H121" s="111" t="str">
        <x:f>IF(E121="","",E121*IF(G121="",1,G121))</x:f>
      </x:c>
      <x:c r="I121" s="110"/>
      <x:c r="J121" s="113"/>
      <x:c r="K121" s="113"/>
      <x:c r="L121" s="113"/>
      <x:c r="M121" s="112"/>
      <x:c r="N121" s="108"/>
      <x:c r="O121" s="107"/>
      <x:c r="P121" s="113"/>
    </x:row>
    <x:row r="122">
      <x:c r="A122" s="109"/>
      <x:c r="B122" s="107"/>
      <x:c r="C122" s="107"/>
      <x:c r="D122" s="108"/>
      <x:c r="E122" s="110"/>
      <x:c r="F122" s="110"/>
      <x:c r="G122" s="110"/>
      <x:c r="H122" s="111" t="str">
        <x:f>IF(E122="","",E122*IF(G122="",1,G122))</x:f>
      </x:c>
      <x:c r="I122" s="110"/>
      <x:c r="J122" s="113"/>
      <x:c r="K122" s="113"/>
      <x:c r="L122" s="113"/>
      <x:c r="M122" s="112"/>
      <x:c r="N122" s="108"/>
      <x:c r="O122" s="107"/>
      <x:c r="P122" s="113"/>
    </x:row>
    <x:row r="123">
      <x:c r="A123" s="109"/>
      <x:c r="B123" s="107"/>
      <x:c r="C123" s="107"/>
      <x:c r="D123" s="108"/>
      <x:c r="E123" s="110"/>
      <x:c r="F123" s="110"/>
      <x:c r="G123" s="110"/>
      <x:c r="H123" s="111" t="str">
        <x:f>IF(E123="","",E123*IF(G123="",1,G123))</x:f>
      </x:c>
      <x:c r="I123" s="110"/>
      <x:c r="J123" s="113"/>
      <x:c r="K123" s="113"/>
      <x:c r="L123" s="113"/>
      <x:c r="M123" s="112"/>
      <x:c r="N123" s="108"/>
      <x:c r="O123" s="107"/>
      <x:c r="P123" s="113"/>
    </x:row>
    <x:row r="124">
      <x:c r="A124" s="109"/>
      <x:c r="B124" s="107"/>
      <x:c r="C124" s="107"/>
      <x:c r="D124" s="108"/>
      <x:c r="E124" s="110"/>
      <x:c r="F124" s="110"/>
      <x:c r="G124" s="110"/>
      <x:c r="H124" s="111" t="str">
        <x:f>IF(E124="","",E124*IF(G124="",1,G124))</x:f>
      </x:c>
      <x:c r="I124" s="110"/>
      <x:c r="J124" s="113"/>
      <x:c r="K124" s="113"/>
      <x:c r="L124" s="113"/>
      <x:c r="M124" s="112"/>
      <x:c r="N124" s="108"/>
      <x:c r="O124" s="107"/>
      <x:c r="P124" s="113"/>
    </x:row>
    <x:row r="125">
      <x:c r="A125" s="109"/>
      <x:c r="B125" s="107"/>
      <x:c r="C125" s="107"/>
      <x:c r="D125" s="108"/>
      <x:c r="E125" s="110"/>
      <x:c r="F125" s="110"/>
      <x:c r="G125" s="110"/>
      <x:c r="H125" s="111" t="str">
        <x:f>IF(E125="","",E125*IF(G125="",1,G125))</x:f>
      </x:c>
      <x:c r="I125" s="110"/>
      <x:c r="J125" s="113"/>
      <x:c r="K125" s="113"/>
      <x:c r="L125" s="113"/>
      <x:c r="M125" s="112"/>
      <x:c r="N125" s="108"/>
      <x:c r="O125" s="107"/>
      <x:c r="P125" s="113"/>
    </x:row>
    <x:row r="126">
      <x:c r="A126" s="109"/>
      <x:c r="B126" s="107"/>
      <x:c r="C126" s="107"/>
      <x:c r="D126" s="108"/>
      <x:c r="E126" s="110"/>
      <x:c r="F126" s="110"/>
      <x:c r="G126" s="110"/>
      <x:c r="H126" s="111" t="str">
        <x:f>IF(E126="","",E126*IF(G126="",1,G126))</x:f>
      </x:c>
      <x:c r="I126" s="110"/>
      <x:c r="J126" s="113"/>
      <x:c r="K126" s="113"/>
      <x:c r="L126" s="113"/>
      <x:c r="M126" s="112"/>
      <x:c r="N126" s="108"/>
      <x:c r="O126" s="107"/>
      <x:c r="P126" s="113"/>
    </x:row>
    <x:row r="127">
      <x:c r="A127" s="109"/>
      <x:c r="B127" s="107"/>
      <x:c r="C127" s="107"/>
      <x:c r="D127" s="108"/>
      <x:c r="E127" s="110"/>
      <x:c r="F127" s="110"/>
      <x:c r="G127" s="110"/>
      <x:c r="H127" s="111" t="str">
        <x:f>IF(E127="","",E127*IF(G127="",1,G127))</x:f>
      </x:c>
      <x:c r="I127" s="110"/>
      <x:c r="J127" s="113"/>
      <x:c r="K127" s="113"/>
      <x:c r="L127" s="113"/>
      <x:c r="M127" s="112"/>
      <x:c r="N127" s="108"/>
      <x:c r="O127" s="107"/>
      <x:c r="P127" s="113"/>
    </x:row>
    <x:row r="128">
      <x:c r="A128" s="109"/>
      <x:c r="B128" s="107"/>
      <x:c r="C128" s="107"/>
      <x:c r="D128" s="108"/>
      <x:c r="E128" s="110"/>
      <x:c r="F128" s="110"/>
      <x:c r="G128" s="110"/>
      <x:c r="H128" s="111" t="str">
        <x:f>IF(E128="","",E128*IF(G128="",1,G128))</x:f>
      </x:c>
      <x:c r="I128" s="110"/>
      <x:c r="J128" s="113"/>
      <x:c r="K128" s="113"/>
      <x:c r="L128" s="113"/>
      <x:c r="M128" s="112"/>
      <x:c r="N128" s="108"/>
      <x:c r="O128" s="107"/>
      <x:c r="P128" s="113"/>
    </x:row>
    <x:row r="129">
      <x:c r="A129" s="109"/>
      <x:c r="B129" s="107"/>
      <x:c r="C129" s="107"/>
      <x:c r="D129" s="108"/>
      <x:c r="E129" s="110"/>
      <x:c r="F129" s="110"/>
      <x:c r="G129" s="110"/>
      <x:c r="H129" s="111" t="str">
        <x:f>IF(E129="","",E129*IF(G129="",1,G129))</x:f>
      </x:c>
      <x:c r="I129" s="110"/>
      <x:c r="J129" s="113"/>
      <x:c r="K129" s="113"/>
      <x:c r="L129" s="113"/>
      <x:c r="M129" s="112"/>
      <x:c r="N129" s="108"/>
      <x:c r="O129" s="107"/>
      <x:c r="P129" s="113"/>
    </x:row>
    <x:row r="130">
      <x:c r="A130" s="109"/>
      <x:c r="B130" s="107"/>
      <x:c r="C130" s="107"/>
      <x:c r="D130" s="108"/>
      <x:c r="E130" s="110"/>
      <x:c r="F130" s="110"/>
      <x:c r="G130" s="110"/>
      <x:c r="H130" s="111" t="str">
        <x:f>IF(E130="","",E130*IF(G130="",1,G130))</x:f>
      </x:c>
      <x:c r="I130" s="110"/>
      <x:c r="J130" s="113"/>
      <x:c r="K130" s="113"/>
      <x:c r="L130" s="113"/>
      <x:c r="M130" s="112"/>
      <x:c r="N130" s="108"/>
      <x:c r="O130" s="107"/>
      <x:c r="P130" s="113"/>
    </x:row>
    <x:row r="131">
      <x:c r="A131" s="109"/>
      <x:c r="B131" s="107"/>
      <x:c r="C131" s="107"/>
      <x:c r="D131" s="108"/>
      <x:c r="E131" s="110"/>
      <x:c r="F131" s="110"/>
      <x:c r="G131" s="110"/>
      <x:c r="H131" s="111" t="str">
        <x:f>IF(E131="","",E131*IF(G131="",1,G131))</x:f>
      </x:c>
      <x:c r="I131" s="110"/>
      <x:c r="J131" s="113"/>
      <x:c r="K131" s="113"/>
      <x:c r="L131" s="113"/>
      <x:c r="M131" s="112"/>
      <x:c r="N131" s="108"/>
      <x:c r="O131" s="107"/>
      <x:c r="P131" s="113"/>
    </x:row>
    <x:row r="132">
      <x:c r="A132" s="109"/>
      <x:c r="B132" s="107"/>
      <x:c r="C132" s="107"/>
      <x:c r="D132" s="108"/>
      <x:c r="E132" s="110"/>
      <x:c r="F132" s="110"/>
      <x:c r="G132" s="110"/>
      <x:c r="H132" s="111" t="str">
        <x:f>IF(E132="","",E132*IF(G132="",1,G132))</x:f>
      </x:c>
      <x:c r="I132" s="110"/>
      <x:c r="J132" s="113"/>
      <x:c r="K132" s="113"/>
      <x:c r="L132" s="113"/>
      <x:c r="M132" s="112"/>
      <x:c r="N132" s="108"/>
      <x:c r="O132" s="107"/>
      <x:c r="P132" s="113"/>
    </x:row>
    <x:row r="133">
      <x:c r="A133" s="109"/>
      <x:c r="B133" s="107"/>
      <x:c r="C133" s="107"/>
      <x:c r="D133" s="108"/>
      <x:c r="E133" s="110"/>
      <x:c r="F133" s="110"/>
      <x:c r="G133" s="110"/>
      <x:c r="H133" s="111" t="str">
        <x:f>IF(E133="","",E133*IF(G133="",1,G133))</x:f>
      </x:c>
      <x:c r="I133" s="110"/>
      <x:c r="J133" s="113"/>
      <x:c r="K133" s="113"/>
      <x:c r="L133" s="113"/>
      <x:c r="M133" s="112"/>
      <x:c r="N133" s="108"/>
      <x:c r="O133" s="107"/>
      <x:c r="P133" s="113"/>
    </x:row>
    <x:row r="134">
      <x:c r="A134" s="109"/>
      <x:c r="B134" s="107"/>
      <x:c r="C134" s="107"/>
      <x:c r="D134" s="108"/>
      <x:c r="E134" s="110"/>
      <x:c r="F134" s="110"/>
      <x:c r="G134" s="110"/>
      <x:c r="H134" s="111" t="str">
        <x:f>IF(E134="","",E134*IF(G134="",1,G134))</x:f>
      </x:c>
      <x:c r="I134" s="110"/>
      <x:c r="J134" s="113"/>
      <x:c r="K134" s="113"/>
      <x:c r="L134" s="113"/>
      <x:c r="M134" s="112"/>
      <x:c r="N134" s="108"/>
      <x:c r="O134" s="107"/>
      <x:c r="P134" s="113"/>
    </x:row>
    <x:row r="135">
      <x:c r="A135" s="109"/>
      <x:c r="B135" s="107"/>
      <x:c r="C135" s="107"/>
      <x:c r="D135" s="108"/>
      <x:c r="E135" s="110"/>
      <x:c r="F135" s="110"/>
      <x:c r="G135" s="110"/>
      <x:c r="H135" s="111" t="str">
        <x:f>IF(E135="","",E135*IF(G135="",1,G135))</x:f>
      </x:c>
      <x:c r="I135" s="110"/>
      <x:c r="J135" s="113"/>
      <x:c r="K135" s="113"/>
      <x:c r="L135" s="113"/>
      <x:c r="M135" s="112"/>
      <x:c r="N135" s="108"/>
      <x:c r="O135" s="107"/>
      <x:c r="P135" s="113"/>
    </x:row>
    <x:row r="136">
      <x:c r="A136" s="109"/>
      <x:c r="B136" s="107"/>
      <x:c r="C136" s="107"/>
      <x:c r="D136" s="108"/>
      <x:c r="E136" s="110"/>
      <x:c r="F136" s="110"/>
      <x:c r="G136" s="110"/>
      <x:c r="H136" s="111" t="str">
        <x:f>IF(E136="","",E136*IF(G136="",1,G136))</x:f>
      </x:c>
      <x:c r="I136" s="110"/>
      <x:c r="J136" s="113"/>
      <x:c r="K136" s="113"/>
      <x:c r="L136" s="113"/>
      <x:c r="M136" s="112"/>
      <x:c r="N136" s="108"/>
      <x:c r="O136" s="107"/>
      <x:c r="P136" s="113"/>
    </x:row>
    <x:row r="137">
      <x:c r="A137" s="109"/>
      <x:c r="B137" s="107"/>
      <x:c r="C137" s="107"/>
      <x:c r="D137" s="108"/>
      <x:c r="E137" s="110"/>
      <x:c r="F137" s="110"/>
      <x:c r="G137" s="110"/>
      <x:c r="H137" s="111" t="str">
        <x:f>IF(E137="","",E137*IF(G137="",1,G137))</x:f>
      </x:c>
      <x:c r="I137" s="110"/>
      <x:c r="J137" s="113"/>
      <x:c r="K137" s="113"/>
      <x:c r="L137" s="113"/>
      <x:c r="M137" s="112"/>
      <x:c r="N137" s="108"/>
      <x:c r="O137" s="107"/>
      <x:c r="P137" s="113"/>
    </x:row>
    <x:row r="138">
      <x:c r="A138" s="109"/>
      <x:c r="B138" s="107"/>
      <x:c r="C138" s="107"/>
      <x:c r="D138" s="108"/>
      <x:c r="E138" s="110"/>
      <x:c r="F138" s="110"/>
      <x:c r="G138" s="110"/>
      <x:c r="H138" s="111" t="str">
        <x:f>IF(E138="","",E138*IF(G138="",1,G138))</x:f>
      </x:c>
      <x:c r="I138" s="110"/>
      <x:c r="J138" s="113"/>
      <x:c r="K138" s="113"/>
      <x:c r="L138" s="113"/>
      <x:c r="M138" s="112"/>
      <x:c r="N138" s="108"/>
      <x:c r="O138" s="107"/>
      <x:c r="P138" s="113"/>
    </x:row>
    <x:row r="139">
      <x:c r="A139" s="109"/>
      <x:c r="B139" s="107"/>
      <x:c r="C139" s="107"/>
      <x:c r="D139" s="108"/>
      <x:c r="E139" s="110"/>
      <x:c r="F139" s="110"/>
      <x:c r="G139" s="110"/>
      <x:c r="H139" s="111" t="str">
        <x:f>IF(E139="","",E139*IF(G139="",1,G139))</x:f>
      </x:c>
      <x:c r="I139" s="110"/>
      <x:c r="J139" s="113"/>
      <x:c r="K139" s="113"/>
      <x:c r="L139" s="113"/>
      <x:c r="M139" s="112"/>
      <x:c r="N139" s="108"/>
      <x:c r="O139" s="107"/>
      <x:c r="P139" s="113"/>
    </x:row>
    <x:row r="140">
      <x:c r="A140" s="109"/>
      <x:c r="B140" s="107"/>
      <x:c r="C140" s="107"/>
      <x:c r="D140" s="108"/>
      <x:c r="E140" s="110"/>
      <x:c r="F140" s="110"/>
      <x:c r="G140" s="110"/>
      <x:c r="H140" s="111" t="str">
        <x:f>IF(E140="","",E140*IF(G140="",1,G140))</x:f>
      </x:c>
      <x:c r="I140" s="110"/>
      <x:c r="J140" s="113"/>
      <x:c r="K140" s="113"/>
      <x:c r="L140" s="113"/>
      <x:c r="M140" s="112"/>
      <x:c r="N140" s="108"/>
      <x:c r="O140" s="107"/>
      <x:c r="P140" s="113"/>
    </x:row>
    <x:row r="141">
      <x:c r="A141" s="109"/>
      <x:c r="B141" s="107"/>
      <x:c r="C141" s="107"/>
      <x:c r="D141" s="108"/>
      <x:c r="E141" s="110"/>
      <x:c r="F141" s="110"/>
      <x:c r="G141" s="110"/>
      <x:c r="H141" s="111" t="str">
        <x:f>IF(E141="","",E141*IF(G141="",1,G141))</x:f>
      </x:c>
      <x:c r="I141" s="110"/>
      <x:c r="J141" s="113"/>
      <x:c r="K141" s="113"/>
      <x:c r="L141" s="113"/>
      <x:c r="M141" s="112"/>
      <x:c r="N141" s="108"/>
      <x:c r="O141" s="107"/>
      <x:c r="P141" s="113"/>
    </x:row>
    <x:row r="142">
      <x:c r="A142" s="109"/>
      <x:c r="B142" s="107"/>
      <x:c r="C142" s="107"/>
      <x:c r="D142" s="108"/>
      <x:c r="E142" s="110"/>
      <x:c r="F142" s="110"/>
      <x:c r="G142" s="110"/>
      <x:c r="H142" s="111" t="str">
        <x:f>IF(E142="","",E142*IF(G142="",1,G142))</x:f>
      </x:c>
      <x:c r="I142" s="110"/>
      <x:c r="J142" s="113"/>
      <x:c r="K142" s="113"/>
      <x:c r="L142" s="113"/>
      <x:c r="M142" s="112"/>
      <x:c r="N142" s="108"/>
      <x:c r="O142" s="107"/>
      <x:c r="P142" s="113"/>
    </x:row>
    <x:row r="143">
      <x:c r="A143" s="109"/>
      <x:c r="B143" s="107"/>
      <x:c r="C143" s="107"/>
      <x:c r="D143" s="108"/>
      <x:c r="E143" s="110"/>
      <x:c r="F143" s="110"/>
      <x:c r="G143" s="110"/>
      <x:c r="H143" s="111" t="str">
        <x:f>IF(E143="","",E143*IF(G143="",1,G143))</x:f>
      </x:c>
      <x:c r="I143" s="110"/>
      <x:c r="J143" s="113"/>
      <x:c r="K143" s="113"/>
      <x:c r="L143" s="113"/>
      <x:c r="M143" s="112"/>
      <x:c r="N143" s="108"/>
      <x:c r="O143" s="107"/>
      <x:c r="P143" s="113"/>
    </x:row>
    <x:row r="144">
      <x:c r="A144" s="109"/>
      <x:c r="B144" s="107"/>
      <x:c r="C144" s="107"/>
      <x:c r="D144" s="108"/>
      <x:c r="E144" s="110"/>
      <x:c r="F144" s="110"/>
      <x:c r="G144" s="110"/>
      <x:c r="H144" s="111" t="str">
        <x:f>IF(E144="","",E144*IF(G144="",1,G144))</x:f>
      </x:c>
      <x:c r="I144" s="110"/>
      <x:c r="J144" s="113"/>
      <x:c r="K144" s="113"/>
      <x:c r="L144" s="113"/>
      <x:c r="M144" s="112"/>
      <x:c r="N144" s="108"/>
      <x:c r="O144" s="107"/>
      <x:c r="P144" s="113"/>
    </x:row>
    <x:row r="145">
      <x:c r="A145" s="109"/>
      <x:c r="B145" s="107"/>
      <x:c r="C145" s="107"/>
      <x:c r="D145" s="108"/>
      <x:c r="E145" s="110"/>
      <x:c r="F145" s="110"/>
      <x:c r="G145" s="110"/>
      <x:c r="H145" s="111" t="str">
        <x:f>IF(E145="","",E145*IF(G145="",1,G145))</x:f>
      </x:c>
      <x:c r="I145" s="110"/>
      <x:c r="J145" s="113"/>
      <x:c r="K145" s="113"/>
      <x:c r="L145" s="113"/>
      <x:c r="M145" s="112"/>
      <x:c r="N145" s="108"/>
      <x:c r="O145" s="107"/>
      <x:c r="P145" s="113"/>
    </x:row>
    <x:row r="146">
      <x:c r="A146" s="109"/>
      <x:c r="B146" s="107"/>
      <x:c r="C146" s="107"/>
      <x:c r="D146" s="108"/>
      <x:c r="E146" s="110"/>
      <x:c r="F146" s="110"/>
      <x:c r="G146" s="110"/>
      <x:c r="H146" s="111" t="str">
        <x:f>IF(E146="","",E146*IF(G146="",1,G146))</x:f>
      </x:c>
      <x:c r="I146" s="110"/>
      <x:c r="J146" s="113"/>
      <x:c r="K146" s="113"/>
      <x:c r="L146" s="113"/>
      <x:c r="M146" s="112"/>
      <x:c r="N146" s="108"/>
      <x:c r="O146" s="107"/>
      <x:c r="P146" s="113"/>
    </x:row>
    <x:row r="147">
      <x:c r="A147" s="109"/>
      <x:c r="B147" s="107"/>
      <x:c r="C147" s="107"/>
      <x:c r="D147" s="108"/>
      <x:c r="E147" s="110"/>
      <x:c r="F147" s="110"/>
      <x:c r="G147" s="110"/>
      <x:c r="H147" s="111" t="str">
        <x:f>IF(E147="","",E147*IF(G147="",1,G147))</x:f>
      </x:c>
      <x:c r="I147" s="110"/>
      <x:c r="J147" s="113"/>
      <x:c r="K147" s="113"/>
      <x:c r="L147" s="113"/>
      <x:c r="M147" s="112"/>
      <x:c r="N147" s="108"/>
      <x:c r="O147" s="107"/>
      <x:c r="P147" s="113"/>
    </x:row>
    <x:row r="148">
      <x:c r="A148" s="109"/>
      <x:c r="B148" s="107"/>
      <x:c r="C148" s="107"/>
      <x:c r="D148" s="108"/>
      <x:c r="E148" s="110"/>
      <x:c r="F148" s="110"/>
      <x:c r="G148" s="110"/>
      <x:c r="H148" s="111" t="str">
        <x:f>IF(E148="","",E148*IF(G148="",1,G148))</x:f>
      </x:c>
      <x:c r="I148" s="110"/>
      <x:c r="J148" s="113"/>
      <x:c r="K148" s="113"/>
      <x:c r="L148" s="113"/>
      <x:c r="M148" s="112"/>
      <x:c r="N148" s="108"/>
      <x:c r="O148" s="107"/>
      <x:c r="P148" s="113"/>
    </x:row>
    <x:row r="149">
      <x:c r="A149" s="109"/>
      <x:c r="B149" s="107"/>
      <x:c r="C149" s="107"/>
      <x:c r="D149" s="108"/>
      <x:c r="E149" s="110"/>
      <x:c r="F149" s="110"/>
      <x:c r="G149" s="110"/>
      <x:c r="H149" s="111" t="str">
        <x:f>IF(E149="","",E149*IF(G149="",1,G149))</x:f>
      </x:c>
      <x:c r="I149" s="110"/>
      <x:c r="J149" s="113"/>
      <x:c r="K149" s="113"/>
      <x:c r="L149" s="113"/>
      <x:c r="M149" s="112"/>
      <x:c r="N149" s="108"/>
      <x:c r="O149" s="107"/>
      <x:c r="P149" s="113"/>
    </x:row>
    <x:row r="150">
      <x:c r="A150" s="109"/>
      <x:c r="B150" s="107"/>
      <x:c r="C150" s="107"/>
      <x:c r="D150" s="108"/>
      <x:c r="E150" s="110"/>
      <x:c r="F150" s="110"/>
      <x:c r="G150" s="110"/>
      <x:c r="H150" s="111" t="str">
        <x:f>IF(E150="","",E150*IF(G150="",1,G150))</x:f>
      </x:c>
      <x:c r="I150" s="110"/>
      <x:c r="J150" s="113"/>
      <x:c r="K150" s="113"/>
      <x:c r="L150" s="113"/>
      <x:c r="M150" s="112"/>
      <x:c r="N150" s="108"/>
      <x:c r="O150" s="107"/>
      <x:c r="P150" s="113"/>
    </x:row>
    <x:row r="151">
      <x:c r="A151" s="109"/>
      <x:c r="B151" s="107"/>
      <x:c r="C151" s="107"/>
      <x:c r="D151" s="108"/>
      <x:c r="E151" s="110"/>
      <x:c r="F151" s="110"/>
      <x:c r="G151" s="110"/>
      <x:c r="H151" s="111" t="str">
        <x:f>IF(E151="","",E151*IF(G151="",1,G151))</x:f>
      </x:c>
      <x:c r="I151" s="110"/>
      <x:c r="J151" s="113"/>
      <x:c r="K151" s="113"/>
      <x:c r="L151" s="113"/>
      <x:c r="M151" s="112"/>
      <x:c r="N151" s="108"/>
      <x:c r="O151" s="107"/>
      <x:c r="P151" s="113"/>
    </x:row>
    <x:row r="152">
      <x:c r="A152" s="109"/>
      <x:c r="B152" s="107"/>
      <x:c r="C152" s="107"/>
      <x:c r="D152" s="108"/>
      <x:c r="E152" s="110"/>
      <x:c r="F152" s="110"/>
      <x:c r="G152" s="110"/>
      <x:c r="H152" s="111" t="str">
        <x:f>IF(E152="","",E152*IF(G152="",1,G152))</x:f>
      </x:c>
      <x:c r="I152" s="110"/>
      <x:c r="J152" s="113"/>
      <x:c r="K152" s="113"/>
      <x:c r="L152" s="113"/>
      <x:c r="M152" s="112"/>
      <x:c r="N152" s="108"/>
      <x:c r="O152" s="107"/>
      <x:c r="P152" s="113"/>
    </x:row>
    <x:row r="153">
      <x:c r="A153" s="109"/>
      <x:c r="B153" s="107"/>
      <x:c r="C153" s="107"/>
      <x:c r="D153" s="108"/>
      <x:c r="E153" s="110"/>
      <x:c r="F153" s="110"/>
      <x:c r="G153" s="110"/>
      <x:c r="H153" s="111" t="str">
        <x:f>IF(E153="","",E153*IF(G153="",1,G153))</x:f>
      </x:c>
      <x:c r="I153" s="110"/>
      <x:c r="J153" s="113"/>
      <x:c r="K153" s="113"/>
      <x:c r="L153" s="113"/>
      <x:c r="M153" s="112"/>
      <x:c r="N153" s="108"/>
      <x:c r="O153" s="107"/>
      <x:c r="P153" s="113"/>
    </x:row>
    <x:row r="154">
      <x:c r="A154" s="109"/>
      <x:c r="B154" s="107"/>
      <x:c r="C154" s="107"/>
      <x:c r="D154" s="108"/>
      <x:c r="E154" s="110"/>
      <x:c r="F154" s="110"/>
      <x:c r="G154" s="110"/>
      <x:c r="H154" s="111" t="str">
        <x:f>IF(E154="","",E154*IF(G154="",1,G154))</x:f>
      </x:c>
      <x:c r="I154" s="110"/>
      <x:c r="J154" s="113"/>
      <x:c r="K154" s="113"/>
      <x:c r="L154" s="113"/>
      <x:c r="M154" s="112"/>
      <x:c r="N154" s="108"/>
      <x:c r="O154" s="107"/>
      <x:c r="P154" s="113"/>
    </x:row>
    <x:row r="155">
      <x:c r="A155" s="109"/>
      <x:c r="B155" s="107"/>
      <x:c r="C155" s="107"/>
      <x:c r="D155" s="108"/>
      <x:c r="E155" s="110"/>
      <x:c r="F155" s="110"/>
      <x:c r="G155" s="110"/>
      <x:c r="H155" s="111" t="str">
        <x:f>IF(E155="","",E155*IF(G155="",1,G155))</x:f>
      </x:c>
      <x:c r="I155" s="110"/>
      <x:c r="J155" s="113"/>
      <x:c r="K155" s="113"/>
      <x:c r="L155" s="113"/>
      <x:c r="M155" s="112"/>
      <x:c r="N155" s="108"/>
      <x:c r="O155" s="107"/>
      <x:c r="P155" s="113"/>
    </x:row>
    <x:row r="156">
      <x:c r="A156" s="109"/>
      <x:c r="B156" s="107"/>
      <x:c r="C156" s="107"/>
      <x:c r="D156" s="108"/>
      <x:c r="E156" s="110"/>
      <x:c r="F156" s="110"/>
      <x:c r="G156" s="110"/>
      <x:c r="H156" s="111" t="str">
        <x:f>IF(E156="","",E156*IF(G156="",1,G156))</x:f>
      </x:c>
      <x:c r="I156" s="110"/>
      <x:c r="J156" s="113"/>
      <x:c r="K156" s="113"/>
      <x:c r="L156" s="113"/>
      <x:c r="M156" s="112"/>
      <x:c r="N156" s="108"/>
      <x:c r="O156" s="107"/>
      <x:c r="P156" s="113"/>
    </x:row>
    <x:row r="157">
      <x:c r="A157" s="109"/>
      <x:c r="B157" s="107"/>
      <x:c r="C157" s="107"/>
      <x:c r="D157" s="108"/>
      <x:c r="E157" s="110"/>
      <x:c r="F157" s="110"/>
      <x:c r="G157" s="110"/>
      <x:c r="H157" s="111" t="str">
        <x:f>IF(E157="","",E157*IF(G157="",1,G157))</x:f>
      </x:c>
      <x:c r="I157" s="110"/>
      <x:c r="J157" s="113"/>
      <x:c r="K157" s="113"/>
      <x:c r="L157" s="113"/>
      <x:c r="M157" s="112"/>
      <x:c r="N157" s="108"/>
      <x:c r="O157" s="107"/>
      <x:c r="P157" s="113"/>
    </x:row>
    <x:row r="158">
      <x:c r="A158" s="109"/>
      <x:c r="B158" s="107"/>
      <x:c r="C158" s="107"/>
      <x:c r="D158" s="108"/>
      <x:c r="E158" s="110"/>
      <x:c r="F158" s="110"/>
      <x:c r="G158" s="110"/>
      <x:c r="H158" s="111" t="str">
        <x:f>IF(E158="","",E158*IF(G158="",1,G158))</x:f>
      </x:c>
      <x:c r="I158" s="110"/>
      <x:c r="J158" s="113"/>
      <x:c r="K158" s="113"/>
      <x:c r="L158" s="113"/>
      <x:c r="M158" s="112"/>
      <x:c r="N158" s="108"/>
      <x:c r="O158" s="107"/>
      <x:c r="P158" s="113"/>
    </x:row>
    <x:row r="159">
      <x:c r="A159" s="109"/>
      <x:c r="B159" s="107"/>
      <x:c r="C159" s="107"/>
      <x:c r="D159" s="108"/>
      <x:c r="E159" s="110"/>
      <x:c r="F159" s="110"/>
      <x:c r="G159" s="110"/>
      <x:c r="H159" s="111" t="str">
        <x:f>IF(E159="","",E159*IF(G159="",1,G159))</x:f>
      </x:c>
      <x:c r="I159" s="110"/>
      <x:c r="J159" s="113"/>
      <x:c r="K159" s="113"/>
      <x:c r="L159" s="113"/>
      <x:c r="M159" s="112"/>
      <x:c r="N159" s="108"/>
      <x:c r="O159" s="107"/>
      <x:c r="P159" s="113"/>
    </x:row>
    <x:row r="160">
      <x:c r="A160" s="109"/>
      <x:c r="B160" s="107"/>
      <x:c r="C160" s="107"/>
      <x:c r="D160" s="108"/>
      <x:c r="E160" s="110"/>
      <x:c r="F160" s="110"/>
      <x:c r="G160" s="110"/>
      <x:c r="H160" s="111" t="str">
        <x:f>IF(E160="","",E160*IF(G160="",1,G160))</x:f>
      </x:c>
      <x:c r="I160" s="110"/>
      <x:c r="J160" s="113"/>
      <x:c r="K160" s="113"/>
      <x:c r="L160" s="113"/>
      <x:c r="M160" s="112"/>
      <x:c r="N160" s="108"/>
      <x:c r="O160" s="107"/>
      <x:c r="P160" s="113"/>
    </x:row>
    <x:row r="161">
      <x:c r="A161" s="109"/>
      <x:c r="B161" s="107"/>
      <x:c r="C161" s="107"/>
      <x:c r="D161" s="108"/>
      <x:c r="E161" s="110"/>
      <x:c r="F161" s="110"/>
      <x:c r="G161" s="110"/>
      <x:c r="H161" s="111" t="str">
        <x:f>IF(E161="","",E161*IF(G161="",1,G161))</x:f>
      </x:c>
      <x:c r="I161" s="110"/>
      <x:c r="J161" s="113"/>
      <x:c r="K161" s="113"/>
      <x:c r="L161" s="113"/>
      <x:c r="M161" s="112"/>
      <x:c r="N161" s="108"/>
      <x:c r="O161" s="107"/>
      <x:c r="P161" s="113"/>
    </x:row>
    <x:row r="162">
      <x:c r="A162" s="109"/>
      <x:c r="B162" s="107"/>
      <x:c r="C162" s="107"/>
      <x:c r="D162" s="108"/>
      <x:c r="E162" s="110"/>
      <x:c r="F162" s="110"/>
      <x:c r="G162" s="110"/>
      <x:c r="H162" s="111" t="str">
        <x:f>IF(E162="","",E162*IF(G162="",1,G162))</x:f>
      </x:c>
      <x:c r="I162" s="110"/>
      <x:c r="J162" s="113"/>
      <x:c r="K162" s="113"/>
      <x:c r="L162" s="113"/>
      <x:c r="M162" s="112"/>
      <x:c r="N162" s="108"/>
      <x:c r="O162" s="107"/>
      <x:c r="P162" s="113"/>
    </x:row>
    <x:row r="163">
      <x:c r="A163" s="109"/>
      <x:c r="B163" s="107"/>
      <x:c r="C163" s="107"/>
      <x:c r="D163" s="108"/>
      <x:c r="E163" s="110"/>
      <x:c r="F163" s="110"/>
      <x:c r="G163" s="110"/>
      <x:c r="H163" s="111" t="str">
        <x:f>IF(E163="","",E163*IF(G163="",1,G163))</x:f>
      </x:c>
      <x:c r="I163" s="110"/>
      <x:c r="J163" s="113"/>
      <x:c r="K163" s="113"/>
      <x:c r="L163" s="113"/>
      <x:c r="M163" s="112"/>
      <x:c r="N163" s="108"/>
      <x:c r="O163" s="107"/>
      <x:c r="P163" s="113"/>
    </x:row>
    <x:row r="164">
      <x:c r="A164" s="109"/>
      <x:c r="B164" s="107"/>
      <x:c r="C164" s="107"/>
      <x:c r="D164" s="108"/>
      <x:c r="E164" s="110"/>
      <x:c r="F164" s="110"/>
      <x:c r="G164" s="110"/>
      <x:c r="H164" s="111" t="str">
        <x:f>IF(E164="","",E164*IF(G164="",1,G164))</x:f>
      </x:c>
      <x:c r="I164" s="110"/>
      <x:c r="J164" s="113"/>
      <x:c r="K164" s="113"/>
      <x:c r="L164" s="113"/>
      <x:c r="M164" s="112"/>
      <x:c r="N164" s="108"/>
      <x:c r="O164" s="107"/>
      <x:c r="P164" s="113"/>
    </x:row>
    <x:row r="165">
      <x:c r="A165" s="109"/>
      <x:c r="B165" s="107"/>
      <x:c r="C165" s="107"/>
      <x:c r="D165" s="108"/>
      <x:c r="E165" s="110"/>
      <x:c r="F165" s="110"/>
      <x:c r="G165" s="110"/>
      <x:c r="H165" s="111" t="str">
        <x:f>IF(E165="","",E165*IF(G165="",1,G165))</x:f>
      </x:c>
      <x:c r="I165" s="110"/>
      <x:c r="J165" s="113"/>
      <x:c r="K165" s="113"/>
      <x:c r="L165" s="113"/>
      <x:c r="M165" s="112"/>
      <x:c r="N165" s="108"/>
      <x:c r="O165" s="107"/>
      <x:c r="P165" s="113"/>
    </x:row>
    <x:row r="166">
      <x:c r="A166" s="109"/>
      <x:c r="B166" s="107"/>
      <x:c r="C166" s="107"/>
      <x:c r="D166" s="108"/>
      <x:c r="E166" s="110"/>
      <x:c r="F166" s="110"/>
      <x:c r="G166" s="110"/>
      <x:c r="H166" s="111" t="str">
        <x:f>IF(E166="","",E166*IF(G166="",1,G166))</x:f>
      </x:c>
      <x:c r="I166" s="110"/>
      <x:c r="J166" s="113"/>
      <x:c r="K166" s="113"/>
      <x:c r="L166" s="113"/>
      <x:c r="M166" s="112"/>
      <x:c r="N166" s="108"/>
      <x:c r="O166" s="107"/>
      <x:c r="P166" s="113"/>
    </x:row>
    <x:row r="167">
      <x:c r="A167" s="109"/>
      <x:c r="B167" s="107"/>
      <x:c r="C167" s="107"/>
      <x:c r="D167" s="108"/>
      <x:c r="E167" s="110"/>
      <x:c r="F167" s="110"/>
      <x:c r="G167" s="110"/>
      <x:c r="H167" s="111" t="str">
        <x:f>IF(E167="","",E167*IF(G167="",1,G167))</x:f>
      </x:c>
      <x:c r="I167" s="110"/>
      <x:c r="J167" s="113"/>
      <x:c r="K167" s="113"/>
      <x:c r="L167" s="113"/>
      <x:c r="M167" s="112"/>
      <x:c r="N167" s="108"/>
      <x:c r="O167" s="107"/>
      <x:c r="P167" s="113"/>
    </x:row>
    <x:row r="168">
      <x:c r="A168" s="109"/>
      <x:c r="B168" s="107"/>
      <x:c r="C168" s="107"/>
      <x:c r="D168" s="108"/>
      <x:c r="E168" s="110"/>
      <x:c r="F168" s="110"/>
      <x:c r="G168" s="110"/>
      <x:c r="H168" s="111" t="str">
        <x:f>IF(E168="","",E168*IF(G168="",1,G168))</x:f>
      </x:c>
      <x:c r="I168" s="110"/>
      <x:c r="J168" s="113"/>
      <x:c r="K168" s="113"/>
      <x:c r="L168" s="113"/>
      <x:c r="M168" s="112"/>
      <x:c r="N168" s="108"/>
      <x:c r="O168" s="107"/>
      <x:c r="P168" s="113"/>
    </x:row>
    <x:row r="169">
      <x:c r="A169" s="109"/>
      <x:c r="B169" s="107"/>
      <x:c r="C169" s="107"/>
      <x:c r="D169" s="108"/>
      <x:c r="E169" s="110"/>
      <x:c r="F169" s="110"/>
      <x:c r="G169" s="110"/>
      <x:c r="H169" s="111" t="str">
        <x:f>IF(E169="","",E169*IF(G169="",1,G169))</x:f>
      </x:c>
      <x:c r="I169" s="110"/>
      <x:c r="J169" s="113"/>
      <x:c r="K169" s="113"/>
      <x:c r="L169" s="113"/>
      <x:c r="M169" s="112"/>
      <x:c r="N169" s="108"/>
      <x:c r="O169" s="107"/>
      <x:c r="P169" s="113"/>
    </x:row>
    <x:row r="170">
      <x:c r="A170" s="109"/>
      <x:c r="B170" s="107"/>
      <x:c r="C170" s="107"/>
      <x:c r="D170" s="108"/>
      <x:c r="E170" s="110"/>
      <x:c r="F170" s="110"/>
      <x:c r="G170" s="110"/>
      <x:c r="H170" s="111" t="str">
        <x:f>IF(E170="","",E170*IF(G170="",1,G170))</x:f>
      </x:c>
      <x:c r="I170" s="110"/>
      <x:c r="J170" s="113"/>
      <x:c r="K170" s="113"/>
      <x:c r="L170" s="113"/>
      <x:c r="M170" s="112"/>
      <x:c r="N170" s="108"/>
      <x:c r="O170" s="107"/>
      <x:c r="P170" s="113"/>
    </x:row>
    <x:row r="171">
      <x:c r="A171" s="109"/>
      <x:c r="B171" s="107"/>
      <x:c r="C171" s="107"/>
      <x:c r="D171" s="108"/>
      <x:c r="E171" s="110"/>
      <x:c r="F171" s="110"/>
      <x:c r="G171" s="110"/>
      <x:c r="H171" s="111" t="str">
        <x:f>IF(E171="","",E171*IF(G171="",1,G171))</x:f>
      </x:c>
      <x:c r="I171" s="110"/>
      <x:c r="J171" s="113"/>
      <x:c r="K171" s="113"/>
      <x:c r="L171" s="113"/>
      <x:c r="M171" s="112"/>
      <x:c r="N171" s="108"/>
      <x:c r="O171" s="107"/>
      <x:c r="P171" s="113"/>
    </x:row>
    <x:row r="172">
      <x:c r="A172" s="109"/>
      <x:c r="B172" s="107"/>
      <x:c r="C172" s="107"/>
      <x:c r="D172" s="108"/>
      <x:c r="E172" s="110"/>
      <x:c r="F172" s="110"/>
      <x:c r="G172" s="110"/>
      <x:c r="H172" s="111" t="str">
        <x:f>IF(E172="","",E172*IF(G172="",1,G172))</x:f>
      </x:c>
      <x:c r="I172" s="110"/>
      <x:c r="J172" s="113"/>
      <x:c r="K172" s="113"/>
      <x:c r="L172" s="113"/>
      <x:c r="M172" s="112"/>
      <x:c r="N172" s="108"/>
      <x:c r="O172" s="107"/>
      <x:c r="P172" s="113"/>
    </x:row>
    <x:row r="173">
      <x:c r="A173" s="109"/>
      <x:c r="B173" s="107"/>
      <x:c r="C173" s="107"/>
      <x:c r="D173" s="108"/>
      <x:c r="E173" s="110"/>
      <x:c r="F173" s="110"/>
      <x:c r="G173" s="110"/>
      <x:c r="H173" s="111" t="str">
        <x:f>IF(E173="","",E173*IF(G173="",1,G173))</x:f>
      </x:c>
      <x:c r="I173" s="110"/>
      <x:c r="J173" s="113"/>
      <x:c r="K173" s="113"/>
      <x:c r="L173" s="113"/>
      <x:c r="M173" s="112"/>
      <x:c r="N173" s="108"/>
      <x:c r="O173" s="107"/>
      <x:c r="P173" s="113"/>
    </x:row>
    <x:row r="174">
      <x:c r="A174" s="109"/>
      <x:c r="B174" s="107"/>
      <x:c r="C174" s="107"/>
      <x:c r="D174" s="108"/>
      <x:c r="E174" s="110"/>
      <x:c r="F174" s="110"/>
      <x:c r="G174" s="110"/>
      <x:c r="H174" s="111" t="str">
        <x:f>IF(E174="","",E174*IF(G174="",1,G174))</x:f>
      </x:c>
      <x:c r="I174" s="110"/>
      <x:c r="J174" s="113"/>
      <x:c r="K174" s="113"/>
      <x:c r="L174" s="113"/>
      <x:c r="M174" s="112"/>
      <x:c r="N174" s="108"/>
      <x:c r="O174" s="107"/>
      <x:c r="P174" s="113"/>
    </x:row>
    <x:row r="175">
      <x:c r="A175" s="109"/>
      <x:c r="B175" s="107"/>
      <x:c r="C175" s="107"/>
      <x:c r="D175" s="108"/>
      <x:c r="E175" s="110"/>
      <x:c r="F175" s="110"/>
      <x:c r="G175" s="110"/>
      <x:c r="H175" s="111" t="str">
        <x:f>IF(E175="","",E175*IF(G175="",1,G175))</x:f>
      </x:c>
      <x:c r="I175" s="110"/>
      <x:c r="J175" s="113"/>
      <x:c r="K175" s="113"/>
      <x:c r="L175" s="113"/>
      <x:c r="M175" s="112"/>
      <x:c r="N175" s="108"/>
      <x:c r="O175" s="107"/>
      <x:c r="P175" s="113"/>
    </x:row>
    <x:row r="176">
      <x:c r="A176" s="109"/>
      <x:c r="B176" s="107"/>
      <x:c r="C176" s="107"/>
      <x:c r="D176" s="108"/>
      <x:c r="E176" s="110"/>
      <x:c r="F176" s="110"/>
      <x:c r="G176" s="110"/>
      <x:c r="H176" s="111" t="str">
        <x:f>IF(E176="","",E176*IF(G176="",1,G176))</x:f>
      </x:c>
      <x:c r="I176" s="110"/>
      <x:c r="J176" s="113"/>
      <x:c r="K176" s="113"/>
      <x:c r="L176" s="113"/>
      <x:c r="M176" s="112"/>
      <x:c r="N176" s="108"/>
      <x:c r="O176" s="107"/>
      <x:c r="P176" s="113"/>
    </x:row>
    <x:row r="177">
      <x:c r="A177" s="109"/>
      <x:c r="B177" s="107"/>
      <x:c r="C177" s="107"/>
      <x:c r="D177" s="108"/>
      <x:c r="E177" s="110"/>
      <x:c r="F177" s="110"/>
      <x:c r="G177" s="110"/>
      <x:c r="H177" s="111" t="str">
        <x:f>IF(E177="","",E177*IF(G177="",1,G177))</x:f>
      </x:c>
      <x:c r="I177" s="110"/>
      <x:c r="J177" s="113"/>
      <x:c r="K177" s="113"/>
      <x:c r="L177" s="113"/>
      <x:c r="M177" s="112"/>
      <x:c r="N177" s="108"/>
      <x:c r="O177" s="107"/>
      <x:c r="P177" s="113"/>
    </x:row>
    <x:row r="178">
      <x:c r="A178" s="109"/>
      <x:c r="B178" s="107"/>
      <x:c r="C178" s="107"/>
      <x:c r="D178" s="108"/>
      <x:c r="E178" s="110"/>
      <x:c r="F178" s="110"/>
      <x:c r="G178" s="110"/>
      <x:c r="H178" s="111" t="str">
        <x:f>IF(E178="","",E178*IF(G178="",1,G178))</x:f>
      </x:c>
      <x:c r="I178" s="110"/>
      <x:c r="J178" s="113"/>
      <x:c r="K178" s="113"/>
      <x:c r="L178" s="113"/>
      <x:c r="M178" s="112"/>
      <x:c r="N178" s="108"/>
      <x:c r="O178" s="107"/>
      <x:c r="P178" s="113"/>
    </x:row>
    <x:row r="179">
      <x:c r="A179" s="109"/>
      <x:c r="B179" s="107"/>
      <x:c r="C179" s="107"/>
      <x:c r="D179" s="108"/>
      <x:c r="E179" s="110"/>
      <x:c r="F179" s="110"/>
      <x:c r="G179" s="110"/>
      <x:c r="H179" s="111" t="str">
        <x:f>IF(E179="","",E179*IF(G179="",1,G179))</x:f>
      </x:c>
      <x:c r="I179" s="110"/>
      <x:c r="J179" s="113"/>
      <x:c r="K179" s="113"/>
      <x:c r="L179" s="113"/>
      <x:c r="M179" s="112"/>
      <x:c r="N179" s="108"/>
      <x:c r="O179" s="107"/>
      <x:c r="P179" s="113"/>
    </x:row>
    <x:row r="180">
      <x:c r="A180" s="109"/>
      <x:c r="B180" s="107"/>
      <x:c r="C180" s="107"/>
      <x:c r="D180" s="108"/>
      <x:c r="E180" s="110"/>
      <x:c r="F180" s="110"/>
      <x:c r="G180" s="110"/>
      <x:c r="H180" s="111" t="str">
        <x:f>IF(E180="","",E180*IF(G180="",1,G180))</x:f>
      </x:c>
      <x:c r="I180" s="110"/>
      <x:c r="J180" s="113"/>
      <x:c r="K180" s="113"/>
      <x:c r="L180" s="113"/>
      <x:c r="M180" s="112"/>
      <x:c r="N180" s="108"/>
      <x:c r="O180" s="107"/>
      <x:c r="P180" s="113"/>
    </x:row>
    <x:row r="181">
      <x:c r="A181" s="109"/>
      <x:c r="B181" s="107"/>
      <x:c r="C181" s="107"/>
      <x:c r="D181" s="108"/>
      <x:c r="E181" s="110"/>
      <x:c r="F181" s="110"/>
      <x:c r="G181" s="110"/>
      <x:c r="H181" s="111" t="str">
        <x:f>IF(E181="","",E181*IF(G181="",1,G181))</x:f>
      </x:c>
      <x:c r="I181" s="110"/>
      <x:c r="J181" s="113"/>
      <x:c r="K181" s="113"/>
      <x:c r="L181" s="113"/>
      <x:c r="M181" s="112"/>
      <x:c r="N181" s="108"/>
      <x:c r="O181" s="107"/>
      <x:c r="P181" s="113"/>
    </x:row>
    <x:row r="182">
      <x:c r="A182" s="109"/>
      <x:c r="B182" s="107"/>
      <x:c r="C182" s="107"/>
      <x:c r="D182" s="108"/>
      <x:c r="E182" s="110"/>
      <x:c r="F182" s="110"/>
      <x:c r="G182" s="110"/>
      <x:c r="H182" s="111" t="str">
        <x:f>IF(E182="","",E182*IF(G182="",1,G182))</x:f>
      </x:c>
      <x:c r="I182" s="110"/>
      <x:c r="J182" s="113"/>
      <x:c r="K182" s="113"/>
      <x:c r="L182" s="113"/>
      <x:c r="M182" s="112"/>
      <x:c r="N182" s="108"/>
      <x:c r="O182" s="107"/>
      <x:c r="P182" s="113"/>
    </x:row>
    <x:row r="183">
      <x:c r="A183" s="109"/>
      <x:c r="B183" s="107"/>
      <x:c r="C183" s="107"/>
      <x:c r="D183" s="108"/>
      <x:c r="E183" s="110"/>
      <x:c r="F183" s="110"/>
      <x:c r="G183" s="110"/>
      <x:c r="H183" s="111" t="str">
        <x:f>IF(E183="","",E183*IF(G183="",1,G183))</x:f>
      </x:c>
      <x:c r="I183" s="110"/>
      <x:c r="J183" s="113"/>
      <x:c r="K183" s="113"/>
      <x:c r="L183" s="113"/>
      <x:c r="M183" s="112"/>
      <x:c r="N183" s="108"/>
      <x:c r="O183" s="107"/>
      <x:c r="P183" s="113"/>
    </x:row>
    <x:row r="184">
      <x:c r="A184" s="109"/>
      <x:c r="B184" s="107"/>
      <x:c r="C184" s="107"/>
      <x:c r="D184" s="108"/>
      <x:c r="E184" s="110"/>
      <x:c r="F184" s="110"/>
      <x:c r="G184" s="110"/>
      <x:c r="H184" s="111" t="str">
        <x:f>IF(E184="","",E184*IF(G184="",1,G184))</x:f>
      </x:c>
      <x:c r="I184" s="110"/>
      <x:c r="J184" s="113"/>
      <x:c r="K184" s="113"/>
      <x:c r="L184" s="113"/>
      <x:c r="M184" s="112"/>
      <x:c r="N184" s="108"/>
      <x:c r="O184" s="107"/>
      <x:c r="P184" s="113"/>
    </x:row>
    <x:row r="185">
      <x:c r="A185" s="109"/>
      <x:c r="B185" s="107"/>
      <x:c r="C185" s="107"/>
      <x:c r="D185" s="108"/>
      <x:c r="E185" s="110"/>
      <x:c r="F185" s="110"/>
      <x:c r="G185" s="110"/>
      <x:c r="H185" s="111" t="str">
        <x:f>IF(E185="","",E185*IF(G185="",1,G185))</x:f>
      </x:c>
      <x:c r="I185" s="110"/>
      <x:c r="J185" s="113"/>
      <x:c r="K185" s="113"/>
      <x:c r="L185" s="113"/>
      <x:c r="M185" s="112"/>
      <x:c r="N185" s="108"/>
      <x:c r="O185" s="107"/>
      <x:c r="P185" s="113"/>
    </x:row>
    <x:row r="186">
      <x:c r="A186" s="109"/>
      <x:c r="B186" s="107"/>
      <x:c r="C186" s="107"/>
      <x:c r="D186" s="108"/>
      <x:c r="E186" s="110"/>
      <x:c r="F186" s="110"/>
      <x:c r="G186" s="110"/>
      <x:c r="H186" s="111" t="str">
        <x:f>IF(E186="","",E186*IF(G186="",1,G186))</x:f>
      </x:c>
      <x:c r="I186" s="110"/>
      <x:c r="J186" s="113"/>
      <x:c r="K186" s="113"/>
      <x:c r="L186" s="113"/>
      <x:c r="M186" s="112"/>
      <x:c r="N186" s="108"/>
      <x:c r="O186" s="107"/>
      <x:c r="P186" s="113"/>
    </x:row>
    <x:row r="187">
      <x:c r="A187" s="109"/>
      <x:c r="B187" s="107"/>
      <x:c r="C187" s="107"/>
      <x:c r="D187" s="108"/>
      <x:c r="E187" s="110"/>
      <x:c r="F187" s="110"/>
      <x:c r="G187" s="110"/>
      <x:c r="H187" s="111" t="str">
        <x:f>IF(E187="","",E187*IF(G187="",1,G187))</x:f>
      </x:c>
      <x:c r="I187" s="110"/>
      <x:c r="J187" s="113"/>
      <x:c r="K187" s="113"/>
      <x:c r="L187" s="113"/>
      <x:c r="M187" s="112"/>
      <x:c r="N187" s="108"/>
      <x:c r="O187" s="107"/>
      <x:c r="P187" s="113"/>
    </x:row>
    <x:row r="188">
      <x:c r="A188" s="109"/>
      <x:c r="B188" s="107"/>
      <x:c r="C188" s="107"/>
      <x:c r="D188" s="108"/>
      <x:c r="E188" s="110"/>
      <x:c r="F188" s="110"/>
      <x:c r="G188" s="110"/>
      <x:c r="H188" s="111" t="str">
        <x:f>IF(E188="","",E188*IF(G188="",1,G188))</x:f>
      </x:c>
      <x:c r="I188" s="110"/>
      <x:c r="J188" s="113"/>
      <x:c r="K188" s="113"/>
      <x:c r="L188" s="113"/>
      <x:c r="M188" s="112"/>
      <x:c r="N188" s="108"/>
      <x:c r="O188" s="107"/>
      <x:c r="P188" s="113"/>
    </x:row>
    <x:row r="189">
      <x:c r="A189" s="109"/>
      <x:c r="B189" s="107"/>
      <x:c r="C189" s="107"/>
      <x:c r="D189" s="108"/>
      <x:c r="E189" s="110"/>
      <x:c r="F189" s="110"/>
      <x:c r="G189" s="110"/>
      <x:c r="H189" s="111" t="str">
        <x:f>IF(E189="","",E189*IF(G189="",1,G189))</x:f>
      </x:c>
      <x:c r="I189" s="110"/>
      <x:c r="J189" s="113"/>
      <x:c r="K189" s="113"/>
      <x:c r="L189" s="113"/>
      <x:c r="M189" s="112"/>
      <x:c r="N189" s="108"/>
      <x:c r="O189" s="107"/>
      <x:c r="P189" s="113"/>
    </x:row>
    <x:row r="190">
      <x:c r="A190" s="109"/>
      <x:c r="B190" s="107"/>
      <x:c r="C190" s="107"/>
      <x:c r="D190" s="108"/>
      <x:c r="E190" s="110"/>
      <x:c r="F190" s="110"/>
      <x:c r="G190" s="110"/>
      <x:c r="H190" s="111" t="str">
        <x:f>IF(E190="","",E190*IF(G190="",1,G190))</x:f>
      </x:c>
      <x:c r="I190" s="110"/>
      <x:c r="J190" s="113"/>
      <x:c r="K190" s="113"/>
      <x:c r="L190" s="113"/>
      <x:c r="M190" s="112"/>
      <x:c r="N190" s="108"/>
      <x:c r="O190" s="107"/>
      <x:c r="P190" s="113"/>
    </x:row>
    <x:row r="191">
      <x:c r="A191" s="109"/>
      <x:c r="B191" s="107"/>
      <x:c r="C191" s="107"/>
      <x:c r="D191" s="108"/>
      <x:c r="E191" s="110"/>
      <x:c r="F191" s="110"/>
      <x:c r="G191" s="110"/>
      <x:c r="H191" s="111" t="str">
        <x:f>IF(E191="","",E191*IF(G191="",1,G191))</x:f>
      </x:c>
      <x:c r="I191" s="110"/>
      <x:c r="J191" s="113"/>
      <x:c r="K191" s="113"/>
      <x:c r="L191" s="113"/>
      <x:c r="M191" s="112"/>
      <x:c r="N191" s="108"/>
      <x:c r="O191" s="107"/>
      <x:c r="P191" s="113"/>
    </x:row>
    <x:row r="192">
      <x:c r="A192" s="109"/>
      <x:c r="B192" s="107"/>
      <x:c r="C192" s="107"/>
      <x:c r="D192" s="108"/>
      <x:c r="E192" s="110"/>
      <x:c r="F192" s="110"/>
      <x:c r="G192" s="110"/>
      <x:c r="H192" s="111" t="str">
        <x:f>IF(E192="","",E192*IF(G192="",1,G192))</x:f>
      </x:c>
      <x:c r="I192" s="110"/>
      <x:c r="J192" s="113"/>
      <x:c r="K192" s="113"/>
      <x:c r="L192" s="113"/>
      <x:c r="M192" s="112"/>
      <x:c r="N192" s="108"/>
      <x:c r="O192" s="107"/>
      <x:c r="P192" s="113"/>
    </x:row>
    <x:row r="193">
      <x:c r="A193" s="109"/>
      <x:c r="B193" s="107"/>
      <x:c r="C193" s="107"/>
      <x:c r="D193" s="108"/>
      <x:c r="E193" s="110"/>
      <x:c r="F193" s="110"/>
      <x:c r="G193" s="110"/>
      <x:c r="H193" s="111" t="str">
        <x:f>IF(E193="","",E193*IF(G193="",1,G193))</x:f>
      </x:c>
      <x:c r="I193" s="110"/>
      <x:c r="J193" s="113"/>
      <x:c r="K193" s="113"/>
      <x:c r="L193" s="113"/>
      <x:c r="M193" s="112"/>
      <x:c r="N193" s="108"/>
      <x:c r="O193" s="107"/>
      <x:c r="P193" s="113"/>
    </x:row>
    <x:row r="194">
      <x:c r="A194" s="109"/>
      <x:c r="B194" s="107"/>
      <x:c r="C194" s="107"/>
      <x:c r="D194" s="108"/>
      <x:c r="E194" s="110"/>
      <x:c r="F194" s="110"/>
      <x:c r="G194" s="110"/>
      <x:c r="H194" s="111" t="str">
        <x:f>IF(E194="","",E194*IF(G194="",1,G194))</x:f>
      </x:c>
      <x:c r="I194" s="110"/>
      <x:c r="J194" s="113"/>
      <x:c r="K194" s="113"/>
      <x:c r="L194" s="113"/>
      <x:c r="M194" s="112"/>
      <x:c r="N194" s="108"/>
      <x:c r="O194" s="107"/>
      <x:c r="P194" s="113"/>
    </x:row>
    <x:row r="195">
      <x:c r="A195" s="109"/>
      <x:c r="B195" s="107"/>
      <x:c r="C195" s="107"/>
      <x:c r="D195" s="108"/>
      <x:c r="E195" s="110"/>
      <x:c r="F195" s="110"/>
      <x:c r="G195" s="110"/>
      <x:c r="H195" s="111" t="str">
        <x:f>IF(E195="","",E195*IF(G195="",1,G195))</x:f>
      </x:c>
      <x:c r="I195" s="110"/>
      <x:c r="J195" s="113"/>
      <x:c r="K195" s="113"/>
      <x:c r="L195" s="113"/>
      <x:c r="M195" s="112"/>
      <x:c r="N195" s="108"/>
      <x:c r="O195" s="107"/>
      <x:c r="P195" s="113"/>
    </x:row>
    <x:row r="196">
      <x:c r="A196" s="109"/>
      <x:c r="B196" s="107"/>
      <x:c r="C196" s="107"/>
      <x:c r="D196" s="108"/>
      <x:c r="E196" s="110"/>
      <x:c r="F196" s="110"/>
      <x:c r="G196" s="110"/>
      <x:c r="H196" s="111" t="str">
        <x:f>IF(E196="","",E196*IF(G196="",1,G196))</x:f>
      </x:c>
      <x:c r="I196" s="110"/>
      <x:c r="J196" s="113"/>
      <x:c r="K196" s="113"/>
      <x:c r="L196" s="113"/>
      <x:c r="M196" s="112"/>
      <x:c r="N196" s="108"/>
      <x:c r="O196" s="107"/>
      <x:c r="P196" s="113"/>
    </x:row>
    <x:row r="197">
      <x:c r="A197" s="109"/>
      <x:c r="B197" s="107"/>
      <x:c r="C197" s="107"/>
      <x:c r="D197" s="108"/>
      <x:c r="E197" s="110"/>
      <x:c r="F197" s="110"/>
      <x:c r="G197" s="110"/>
      <x:c r="H197" s="111" t="str">
        <x:f>IF(E197="","",E197*IF(G197="",1,G197))</x:f>
      </x:c>
      <x:c r="I197" s="110"/>
      <x:c r="J197" s="113"/>
      <x:c r="K197" s="113"/>
      <x:c r="L197" s="113"/>
      <x:c r="M197" s="112"/>
      <x:c r="N197" s="108"/>
      <x:c r="O197" s="107"/>
      <x:c r="P197" s="113"/>
    </x:row>
    <x:row r="198">
      <x:c r="A198" s="109"/>
      <x:c r="B198" s="107"/>
      <x:c r="C198" s="107"/>
      <x:c r="D198" s="108"/>
      <x:c r="E198" s="110"/>
      <x:c r="F198" s="110"/>
      <x:c r="G198" s="110"/>
      <x:c r="H198" s="111" t="str">
        <x:f>IF(E198="","",E198*IF(G198="",1,G198))</x:f>
      </x:c>
      <x:c r="I198" s="110"/>
      <x:c r="J198" s="113"/>
      <x:c r="K198" s="113"/>
      <x:c r="L198" s="113"/>
      <x:c r="M198" s="112"/>
      <x:c r="N198" s="108"/>
      <x:c r="O198" s="107"/>
      <x:c r="P198" s="113"/>
    </x:row>
    <x:row r="199">
      <x:c r="A199" s="109"/>
      <x:c r="B199" s="107"/>
      <x:c r="C199" s="107"/>
      <x:c r="D199" s="108"/>
      <x:c r="E199" s="110"/>
      <x:c r="F199" s="110"/>
      <x:c r="G199" s="110"/>
      <x:c r="H199" s="111" t="str">
        <x:f>IF(E199="","",E199*IF(G199="",1,G199))</x:f>
      </x:c>
      <x:c r="I199" s="110"/>
      <x:c r="J199" s="113"/>
      <x:c r="K199" s="113"/>
      <x:c r="L199" s="113"/>
      <x:c r="M199" s="112"/>
      <x:c r="N199" s="108"/>
      <x:c r="O199" s="107"/>
      <x:c r="P199" s="113"/>
    </x:row>
    <x:row r="200">
      <x:c r="A200" s="109"/>
      <x:c r="B200" s="107"/>
      <x:c r="C200" s="107"/>
      <x:c r="D200" s="108"/>
      <x:c r="E200" s="110"/>
      <x:c r="F200" s="110"/>
      <x:c r="G200" s="110"/>
      <x:c r="H200" s="111" t="str">
        <x:f>IF(E200="","",E200*IF(G200="",1,G200))</x:f>
      </x:c>
      <x:c r="I200" s="110"/>
      <x:c r="J200" s="113"/>
      <x:c r="K200" s="113"/>
      <x:c r="L200" s="113"/>
      <x:c r="M200" s="112"/>
      <x:c r="N200" s="108"/>
      <x:c r="O200" s="107"/>
      <x:c r="P200" s="113"/>
    </x:row>
    <x:row r="201">
      <x:c r="A201" s="109"/>
      <x:c r="B201" s="107"/>
      <x:c r="C201" s="107"/>
      <x:c r="D201" s="108"/>
      <x:c r="E201" s="110"/>
      <x:c r="F201" s="110"/>
      <x:c r="G201" s="110"/>
      <x:c r="H201" s="111" t="str">
        <x:f>IF(E201="","",E201*IF(G201="",1,G201))</x:f>
      </x:c>
      <x:c r="I201" s="110"/>
      <x:c r="J201" s="113"/>
      <x:c r="K201" s="113"/>
      <x:c r="L201" s="113"/>
      <x:c r="M201" s="112"/>
      <x:c r="N201" s="108"/>
      <x:c r="O201" s="107"/>
      <x:c r="P201" s="113"/>
    </x:row>
    <x:row r="202">
      <x:c r="A202" s="109"/>
      <x:c r="B202" s="107"/>
      <x:c r="C202" s="107"/>
      <x:c r="D202" s="108"/>
      <x:c r="E202" s="110"/>
      <x:c r="F202" s="110"/>
      <x:c r="G202" s="110"/>
      <x:c r="H202" s="111" t="str">
        <x:f>IF(E202="","",E202*IF(G202="",1,G202))</x:f>
      </x:c>
      <x:c r="I202" s="110"/>
      <x:c r="J202" s="113"/>
      <x:c r="K202" s="113"/>
      <x:c r="L202" s="113"/>
      <x:c r="M202" s="112"/>
      <x:c r="N202" s="108"/>
      <x:c r="O202" s="107"/>
      <x:c r="P202" s="113"/>
    </x:row>
    <x:row r="203">
      <x:c r="A203" s="109"/>
      <x:c r="B203" s="107"/>
      <x:c r="C203" s="107"/>
      <x:c r="D203" s="108"/>
      <x:c r="E203" s="110"/>
      <x:c r="F203" s="110"/>
      <x:c r="G203" s="110"/>
      <x:c r="H203" s="111" t="str">
        <x:f>IF(E203="","",E203*IF(G203="",1,G203))</x:f>
      </x:c>
      <x:c r="I203" s="110"/>
      <x:c r="J203" s="113"/>
      <x:c r="K203" s="113"/>
      <x:c r="L203" s="113"/>
      <x:c r="M203" s="112"/>
      <x:c r="N203" s="108"/>
      <x:c r="O203" s="107"/>
      <x:c r="P203" s="113"/>
    </x:row>
    <x:row r="204">
      <x:c r="A204" s="109"/>
      <x:c r="B204" s="107"/>
      <x:c r="C204" s="107"/>
      <x:c r="D204" s="108"/>
      <x:c r="E204" s="110"/>
      <x:c r="F204" s="110"/>
      <x:c r="G204" s="110"/>
      <x:c r="H204" s="111" t="str">
        <x:f>IF(E204="","",E204*IF(G204="",1,G204))</x:f>
      </x:c>
      <x:c r="I204" s="110"/>
      <x:c r="J204" s="113"/>
      <x:c r="K204" s="113"/>
      <x:c r="L204" s="113"/>
      <x:c r="M204" s="112"/>
      <x:c r="N204" s="108"/>
      <x:c r="O204" s="107"/>
      <x:c r="P204" s="113"/>
    </x:row>
    <x:row r="205">
      <x:c r="A205" s="109"/>
      <x:c r="B205" s="107"/>
      <x:c r="C205" s="107"/>
      <x:c r="D205" s="108"/>
      <x:c r="E205" s="110"/>
      <x:c r="F205" s="110"/>
      <x:c r="G205" s="110"/>
      <x:c r="H205" s="111" t="str">
        <x:f>IF(E205="","",E205*IF(G205="",1,G205))</x:f>
      </x:c>
      <x:c r="I205" s="110"/>
      <x:c r="J205" s="113"/>
      <x:c r="K205" s="113"/>
      <x:c r="L205" s="113"/>
      <x:c r="M205" s="112"/>
      <x:c r="N205" s="108"/>
      <x:c r="O205" s="107"/>
      <x:c r="P205" s="113"/>
    </x:row>
  </x:sheetData>
  <x:mergeCells>
    <x:mergeCell ref="A1:P1"/>
    <x:mergeCell ref="A2:P2"/>
  </x:mergeCells>
  <x:dataValidations count="4">
    <x:dataValidation type="list" sqref="B6:B205">
      <x:formula1>Proveedores!$B$6:$B$205</x:formula1>
    </x:dataValidation>
    <x:dataValidation type="list" sqref="C6:C205">
      <x:formula1>Listas!$A$2:$A$40</x:formula1>
    </x:dataValidation>
    <x:dataValidation type="list" sqref="F6:F205">
      <x:formula1>Listas!$B$2:$B$30</x:formula1>
    </x:dataValidation>
    <x:dataValidation type="list" sqref="O6:O205">
      <x:formula1>"Sí,No"</x:formula1>
    </x:dataValidation>
  </x:dataValidations>
  <x:pageMargins left="0.7" right="0.7" top="0.75" bottom="0.75" header="0.3" footer="0.3"/>
</x:worksheet>
</file>